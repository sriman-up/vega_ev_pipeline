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gali/Downloads/EV Project/"/>
    </mc:Choice>
  </mc:AlternateContent>
  <xr:revisionPtr revIDLastSave="0" documentId="8_{F1F134D7-07A6-C44B-AF6A-CED3B80ACE41}" xr6:coauthVersionLast="47" xr6:coauthVersionMax="47" xr10:uidLastSave="{00000000-0000-0000-0000-000000000000}"/>
  <bookViews>
    <workbookView xWindow="0" yWindow="500" windowWidth="28420" windowHeight="16020" activeTab="1" xr2:uid="{265EEFF3-37C5-B04C-8E9E-E54C7994569F}"/>
  </bookViews>
  <sheets>
    <sheet name="Table" sheetId="1" r:id="rId1"/>
    <sheet name="Sheet1" sheetId="2" r:id="rId2"/>
  </sheets>
  <definedNames>
    <definedName name="_xlnm._FilterDatabase" localSheetId="0" hidden="1">Table!$A$1:$U$60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2" i="2"/>
  <c r="B21" i="2" s="1"/>
  <c r="N13" i="2"/>
  <c r="I21" i="2"/>
  <c r="I16" i="2"/>
  <c r="I13" i="2"/>
  <c r="K16" i="2"/>
  <c r="K17" i="2" s="1"/>
  <c r="J16" i="2"/>
  <c r="J17" i="2" s="1"/>
  <c r="H16" i="2"/>
  <c r="H17" i="2" s="1"/>
  <c r="G16" i="2"/>
  <c r="G17" i="2" s="1"/>
  <c r="F16" i="2"/>
  <c r="E16" i="2"/>
  <c r="E17" i="2" s="1"/>
  <c r="D16" i="2"/>
  <c r="D17" i="2" s="1"/>
  <c r="C16" i="2"/>
  <c r="C17" i="2" s="1"/>
  <c r="H21" i="2"/>
  <c r="H13" i="2"/>
  <c r="E21" i="2"/>
  <c r="E13" i="2"/>
  <c r="D21" i="2"/>
  <c r="D13" i="2"/>
  <c r="C21" i="2"/>
  <c r="C13" i="2"/>
  <c r="K21" i="2"/>
  <c r="K13" i="2"/>
  <c r="M13" i="2"/>
  <c r="F21" i="2"/>
  <c r="F13" i="2"/>
  <c r="J21" i="2"/>
  <c r="J13" i="2"/>
  <c r="G21" i="2"/>
  <c r="G13" i="2"/>
  <c r="B17" i="2" l="1"/>
  <c r="I17" i="2"/>
  <c r="F17" i="2"/>
  <c r="I23" i="2"/>
  <c r="I26" i="2"/>
  <c r="H26" i="2"/>
  <c r="H23" i="2"/>
  <c r="H27" i="2" s="1"/>
  <c r="H29" i="2" s="1"/>
  <c r="D23" i="2"/>
  <c r="D22" i="2"/>
  <c r="D26" i="2"/>
  <c r="C26" i="2"/>
  <c r="C22" i="2"/>
  <c r="C23" i="2"/>
  <c r="K23" i="2"/>
  <c r="K26" i="2"/>
  <c r="F26" i="2"/>
  <c r="F23" i="2"/>
  <c r="G23" i="2"/>
  <c r="G26" i="2"/>
  <c r="B23" i="2" l="1"/>
  <c r="B26" i="2"/>
  <c r="I27" i="2"/>
  <c r="I29" i="2" s="1"/>
  <c r="E23" i="2"/>
  <c r="E27" i="2" s="1"/>
  <c r="E29" i="2" s="1"/>
  <c r="E26" i="2"/>
  <c r="C27" i="2"/>
  <c r="C29" i="2" s="1"/>
  <c r="D27" i="2"/>
  <c r="D29" i="2" s="1"/>
  <c r="J22" i="2"/>
  <c r="J23" i="2"/>
  <c r="J26" i="2"/>
  <c r="K27" i="2"/>
  <c r="K29" i="2" s="1"/>
  <c r="F27" i="2"/>
  <c r="F29" i="2" s="1"/>
  <c r="G27" i="2"/>
  <c r="G29" i="2" s="1"/>
  <c r="B27" i="2" l="1"/>
  <c r="B29" i="2" s="1"/>
  <c r="J27" i="2"/>
  <c r="J29" i="2" s="1"/>
</calcChain>
</file>

<file path=xl/sharedStrings.xml><?xml version="1.0" encoding="utf-8"?>
<sst xmlns="http://schemas.openxmlformats.org/spreadsheetml/2006/main" count="731" uniqueCount="362">
  <si>
    <t>Sl.No</t>
  </si>
  <si>
    <t>SCNO</t>
  </si>
  <si>
    <t>Name</t>
  </si>
  <si>
    <t>Circle</t>
  </si>
  <si>
    <t>Division</t>
  </si>
  <si>
    <t>SubDiv.</t>
  </si>
  <si>
    <t>Section</t>
  </si>
  <si>
    <t>Serv_Type</t>
  </si>
  <si>
    <t>HOD</t>
  </si>
  <si>
    <t>Industry Type</t>
  </si>
  <si>
    <t>Sup.Con.Date</t>
  </si>
  <si>
    <t>Cat</t>
  </si>
  <si>
    <t>Voltage</t>
  </si>
  <si>
    <t>CMD</t>
  </si>
  <si>
    <t>Status</t>
  </si>
  <si>
    <t>UDC / BS Month</t>
  </si>
  <si>
    <t>Arrears</t>
  </si>
  <si>
    <t>Court Arrears</t>
  </si>
  <si>
    <t>Last Paid Date</t>
  </si>
  <si>
    <t>Last Paid Amount</t>
  </si>
  <si>
    <t>Address</t>
  </si>
  <si>
    <t>BJH2143</t>
  </si>
  <si>
    <t>FORTUM CHARGE &amp; DRIVE IND PVT LTD</t>
  </si>
  <si>
    <t>BANJARA HILLS</t>
  </si>
  <si>
    <t>JUBILEE HILLS</t>
  </si>
  <si>
    <t>NG</t>
  </si>
  <si>
    <t>NON GOVERNMENT</t>
  </si>
  <si>
    <t>OTHER MISCELLANEOUS INDUSTRIES</t>
  </si>
  <si>
    <t>RDN0.37 KAVURI HILLS PHASE 1CBI CLY J HILLS-500033</t>
  </si>
  <si>
    <t>BJH2299</t>
  </si>
  <si>
    <t>KONDAREDDY SUKANYA</t>
  </si>
  <si>
    <t>MADHAPUR</t>
  </si>
  <si>
    <t>BATTERY &amp; DRY CELLS</t>
  </si>
  <si>
    <t>SY NO 73 ,74, 75 PARTSP NO 13P NO 13-500081</t>
  </si>
  <si>
    <t>BJH2329</t>
  </si>
  <si>
    <t>VOLTRAN ELECTRIC</t>
  </si>
  <si>
    <t>ELECTRICAL GOODS &amp; EQUIPMENT</t>
  </si>
  <si>
    <t>427427427,HYD-500033</t>
  </si>
  <si>
    <t>BJH2376</t>
  </si>
  <si>
    <t>SONI WHEELS LOGISTICS</t>
  </si>
  <si>
    <t>POULTRY FEED MILLS</t>
  </si>
  <si>
    <t>'-16004.72</t>
  </si>
  <si>
    <t>P.NO-9,SY.NO-47AMAR CO-OPERATIVEHOUSING SOCIEGUTTALA BEGUMPET MADHAPUR</t>
  </si>
  <si>
    <t>CBC3538</t>
  </si>
  <si>
    <t>M/S FRESHBUS PVT LTD</t>
  </si>
  <si>
    <t>CYBERCITY</t>
  </si>
  <si>
    <t>IBRAHIMBAGH</t>
  </si>
  <si>
    <t>NARSINGI</t>
  </si>
  <si>
    <t>'-32740</t>
  </si>
  <si>
    <t>SYNO 297POPPALGUDA VILLAGESYNO 297</t>
  </si>
  <si>
    <t>CBC3620</t>
  </si>
  <si>
    <t>TECSO CHARGE ZONE LIMITED</t>
  </si>
  <si>
    <t>GACHIBOWLI</t>
  </si>
  <si>
    <t>'-.14</t>
  </si>
  <si>
    <t>122,123,124 BIT NO : 11/USERILINGAMPALLY MANDAL,RR DIST</t>
  </si>
  <si>
    <t>CBC3715</t>
  </si>
  <si>
    <t>M/S TRINITY CLEANTECH PRIVATE LIMITED</t>
  </si>
  <si>
    <t>KONDAPUR</t>
  </si>
  <si>
    <t>ELECTRONIC MEDIA</t>
  </si>
  <si>
    <t>'-12555</t>
  </si>
  <si>
    <t>NEAR 4TH PHASE FLYOVERHITECH CITY RAILWAY STATION KUKATPALLY, RR DIST.</t>
  </si>
  <si>
    <t>CBC3766</t>
  </si>
  <si>
    <t>DEPOT MANAGER HCU</t>
  </si>
  <si>
    <t>G</t>
  </si>
  <si>
    <t>TRANSPORT COMMISSIONER,HOD</t>
  </si>
  <si>
    <t>'-54624</t>
  </si>
  <si>
    <t>DEPOT MANAGERTSRTCHCU DEPOT</t>
  </si>
  <si>
    <t>CBC3862</t>
  </si>
  <si>
    <t>Ankit Energy LLP</t>
  </si>
  <si>
    <t>'-52</t>
  </si>
  <si>
    <t>Plot no. 103, Sai Laxmi ColonyLeasedKhajaguda</t>
  </si>
  <si>
    <t>CBC4008</t>
  </si>
  <si>
    <t>SEEYAN ASSOCIATES</t>
  </si>
  <si>
    <t>EV CHARGING STATION/BATTERY SWAP</t>
  </si>
  <si>
    <t>SEEYAN CHARGE ZONE ,Plot No.17LAVANYA CN - REGISTERED SALE DKHAJAGUDA</t>
  </si>
  <si>
    <t>GDL1325</t>
  </si>
  <si>
    <t>NS VOLTRAN</t>
  </si>
  <si>
    <t>GADWAL</t>
  </si>
  <si>
    <t>ALAMPUR</t>
  </si>
  <si>
    <t>ITIKYAL(ERRAVALLY)</t>
  </si>
  <si>
    <t>GDL1333</t>
  </si>
  <si>
    <t>TECSO CHARGEZONE LIMITED</t>
  </si>
  <si>
    <t>UNDAVELLY</t>
  </si>
  <si>
    <t>SY NO : 450/A5/2,455,455ENEAR PULLUR TOLL PLAZAPULLUR VILLAG UNDAVELLY MANDAL</t>
  </si>
  <si>
    <t>HDC1207</t>
  </si>
  <si>
    <t>FORTUM CHARGE</t>
  </si>
  <si>
    <t>HYDERABAD CENTRAL</t>
  </si>
  <si>
    <t>MEHDIPATNAM</t>
  </si>
  <si>
    <t>GOLCONDA</t>
  </si>
  <si>
    <t>SHAIKPET</t>
  </si>
  <si>
    <t>ELECTRONICS</t>
  </si>
  <si>
    <t>'-103549</t>
  </si>
  <si>
    <t>PLOT NO:50SAI RATNA COLONY, PHASE-2RAIDURGA KHALSA</t>
  </si>
  <si>
    <t>HDC1277</t>
  </si>
  <si>
    <t>TRINITY CLEANTECH PRIVATE LIMITED</t>
  </si>
  <si>
    <t>SAIFABAD</t>
  </si>
  <si>
    <t>Parking premises of Necklace RNecklace ROADNecklace Road</t>
  </si>
  <si>
    <t>HDS857</t>
  </si>
  <si>
    <t>CUSTOMER RELATION MANAGER</t>
  </si>
  <si>
    <t>HYDERABAD SOUTH</t>
  </si>
  <si>
    <t>BEGUM BAZAR</t>
  </si>
  <si>
    <t>TROOP BAZAR</t>
  </si>
  <si>
    <t>PUTLI BOWLI</t>
  </si>
  <si>
    <t>APSRTC</t>
  </si>
  <si>
    <t>'-29958</t>
  </si>
  <si>
    <t>IMLI BUNMGBS22-1-1111/A, GOWLI GUDA</t>
  </si>
  <si>
    <t>MBN1428</t>
  </si>
  <si>
    <t>M/S.SAPTHAVAHANA PRIVATE LIMITED</t>
  </si>
  <si>
    <t>MAHABOOBNAGAR</t>
  </si>
  <si>
    <t>JADCHERLA</t>
  </si>
  <si>
    <t>JADCHERLA RURAL</t>
  </si>
  <si>
    <t>100MACHARAMMACHARAM</t>
  </si>
  <si>
    <t>MCL3148</t>
  </si>
  <si>
    <t>DEPOT MANAGER TSRTC</t>
  </si>
  <si>
    <t>MEDCHAL</t>
  </si>
  <si>
    <t>KUKATPALLY</t>
  </si>
  <si>
    <t>MIYAPUR</t>
  </si>
  <si>
    <t>BUS DEPOTMIYAPUR</t>
  </si>
  <si>
    <t>MCL3493</t>
  </si>
  <si>
    <t>GREEN CELL EXPRESS PRIVATE LIMITED</t>
  </si>
  <si>
    <t>BACHUPALLY</t>
  </si>
  <si>
    <t>'-3989146</t>
  </si>
  <si>
    <t>7-2-B-47 , B-48BESIDE BHARATH PETROL PUMPBACHUPALLY</t>
  </si>
  <si>
    <t>MCL3766</t>
  </si>
  <si>
    <t>M/S TRINITY CLEANTECH PVT LTD</t>
  </si>
  <si>
    <t>HYDERNAGAR</t>
  </si>
  <si>
    <t>'-56403</t>
  </si>
  <si>
    <t>SURVEY NO 172HYDER NAGARKUKATPALLY</t>
  </si>
  <si>
    <t>MCL3898</t>
  </si>
  <si>
    <t>ADARSHA AUTO WORLD PVT LTD</t>
  </si>
  <si>
    <t>pno:8, 9,AS raju nagar,kukatpaadarha auto world pvt ltdkukatpally</t>
  </si>
  <si>
    <t>MDK2752</t>
  </si>
  <si>
    <t>SHARIFY SERVICES PRIVATE LIMITED</t>
  </si>
  <si>
    <t>MEDAK</t>
  </si>
  <si>
    <t>TOOPRAN</t>
  </si>
  <si>
    <t>SY NO- 743/AA15HALDI DRIVE IN AND RESTAURANTTOOPRAN</t>
  </si>
  <si>
    <t>MDK2761</t>
  </si>
  <si>
    <t>RELIANCE BP MOBILITY LIMITED</t>
  </si>
  <si>
    <t>KALKALL</t>
  </si>
  <si>
    <t>Survey No. 27 &amp; 28, NH 44, TooyesManoharabad</t>
  </si>
  <si>
    <t>NLG1352</t>
  </si>
  <si>
    <t>NALGONDA</t>
  </si>
  <si>
    <t>NALGONDA RURAL</t>
  </si>
  <si>
    <t>NARKETPALLY</t>
  </si>
  <si>
    <t>473/A, NH65NARKETPALLYHYD - VIJAYWADA HIGHWAY</t>
  </si>
  <si>
    <t>NLG1366</t>
  </si>
  <si>
    <t>TTL ELECTRIC FUEL PVT LTD</t>
  </si>
  <si>
    <t>NAKREKAL</t>
  </si>
  <si>
    <t>KETHAPALLI</t>
  </si>
  <si>
    <t>SY.NO-183HOTEL GODAVARI,BESIDE NH-65UPPALAPAHAD VILLAGE,KETHEPALLI</t>
  </si>
  <si>
    <t>NLG1372</t>
  </si>
  <si>
    <t>GREENCELL EXPRESS PVT LTD</t>
  </si>
  <si>
    <t>'-79848.99</t>
  </si>
  <si>
    <t>433/A433/A8-84/1</t>
  </si>
  <si>
    <t>NLG1395</t>
  </si>
  <si>
    <t>VOLTRAN ELECTRIC PRIVATE LIMITED</t>
  </si>
  <si>
    <t>MIRYALGUDA</t>
  </si>
  <si>
    <t>MIRYALAGUDA TOWN-I</t>
  </si>
  <si>
    <t>BLOCK NO. 30, SURVEY NO. 604/0NH167, EDULAGUDA JUNCTION,MIRYALAGUDA</t>
  </si>
  <si>
    <t>NLG1402</t>
  </si>
  <si>
    <t>CHITYAL</t>
  </si>
  <si>
    <t>'-59081</t>
  </si>
  <si>
    <t>SY NO-2577 MIDWAY PLAZAPEDDAKAPARTHY</t>
  </si>
  <si>
    <t>NLG1427</t>
  </si>
  <si>
    <t>DEPOT MANAGER NALGONDA</t>
  </si>
  <si>
    <t>NALGONDA TOWN I</t>
  </si>
  <si>
    <t>DEPOT MANAGER NALGONDADEPOT MANAGER NALGONDADEPOT MANAGER NALGONDA</t>
  </si>
  <si>
    <t>NLG1433</t>
  </si>
  <si>
    <t>Mana Energy Private Limited</t>
  </si>
  <si>
    <t>199/2, Peddakaparthy, ChityalaYesPeddakaparthy</t>
  </si>
  <si>
    <t>NLG1442</t>
  </si>
  <si>
    <t>YELLOWSTONE EV POWER PRIVATE LIMIT</t>
  </si>
  <si>
    <t>Sy.No.:636/A3, Sanchar Food CoYesMiryalaguda</t>
  </si>
  <si>
    <t>NLG1445</t>
  </si>
  <si>
    <t>ZEON ELECTRIC PRIVATE LIMITED</t>
  </si>
  <si>
    <t>'-360</t>
  </si>
  <si>
    <t>sy No.449, Cheekatigudem, KethNACheekatigudem</t>
  </si>
  <si>
    <t>RJN2739</t>
  </si>
  <si>
    <t>FORTUM CHARGE AND DRIVE INDIA PVT LTD</t>
  </si>
  <si>
    <t>RAJENDRA NAGAR</t>
  </si>
  <si>
    <t>KANDUKUR</t>
  </si>
  <si>
    <t>MAMIDIPALLY</t>
  </si>
  <si>
    <t>MAHESHWARAM</t>
  </si>
  <si>
    <t>1/12-3RAVIRYALA</t>
  </si>
  <si>
    <t>RJN2764</t>
  </si>
  <si>
    <t>GMR GREEN ENERGY LTD</t>
  </si>
  <si>
    <t>SHAMSHABAD</t>
  </si>
  <si>
    <t>SHAPOOR</t>
  </si>
  <si>
    <t>SHAMASHABAD GMR,PLOT NO-27&amp;29SY.NO-48AA,49,50,51,57,60, 234PRABHAVA ENCLAVE, THONDPALLY</t>
  </si>
  <si>
    <t>RJN2805</t>
  </si>
  <si>
    <t>'-26730.8</t>
  </si>
  <si>
    <t>279/AA3/2 &amp; 279/AA2/2 - TGCGS000038- SHAMSHABAD AIRPORSHAMSHABAD (P), SHAMSHABAD MAN</t>
  </si>
  <si>
    <t>RJN2852</t>
  </si>
  <si>
    <t>IDISHA INFO LABS PRIVATE LIMITED</t>
  </si>
  <si>
    <t>Survey No. 275 &amp; 276, ShamshabyesShamshabad</t>
  </si>
  <si>
    <t>RJN2902</t>
  </si>
  <si>
    <t>HIMAYAT SAGAR</t>
  </si>
  <si>
    <t>Sy No. 98AA, 99A,99AA,99E,99UUyesGandhamguda Village,</t>
  </si>
  <si>
    <t>RJN2930</t>
  </si>
  <si>
    <t>KALPA EV STATION PRIVATE LIMITED</t>
  </si>
  <si>
    <t>Sy No. 283/E, Shamshabad VillaNAShamshabad</t>
  </si>
  <si>
    <t>SDP2881</t>
  </si>
  <si>
    <t>SIDDIPET</t>
  </si>
  <si>
    <t>SIDDIPET RURAL</t>
  </si>
  <si>
    <t>SIDDIPET URBAN</t>
  </si>
  <si>
    <t>'-79690</t>
  </si>
  <si>
    <t>SY NO 111TOLLGATE RESTAURENTSIDDIPET</t>
  </si>
  <si>
    <t>SEC2085</t>
  </si>
  <si>
    <t>SECUNDERABAD</t>
  </si>
  <si>
    <t>MAREDPALLY</t>
  </si>
  <si>
    <t>KARKHANA</t>
  </si>
  <si>
    <t>BUS DEPOT</t>
  </si>
  <si>
    <t>'-50017</t>
  </si>
  <si>
    <t>CNT DEPOTJBSPICKET</t>
  </si>
  <si>
    <t>SEC2258</t>
  </si>
  <si>
    <t>PARADISE</t>
  </si>
  <si>
    <t>JAMES STREET</t>
  </si>
  <si>
    <t>CLOCK TOWER</t>
  </si>
  <si>
    <t>'-15498.49</t>
  </si>
  <si>
    <t>HMRL OPEN LANDISKON TEMPLE BACKSIDESECUNDERABAD</t>
  </si>
  <si>
    <t>SEC2275</t>
  </si>
  <si>
    <t>THE DEPOT MANAGER (PICKET)</t>
  </si>
  <si>
    <t>SY NO:486 &amp; 487PICKETWEST MARREDPALLY</t>
  </si>
  <si>
    <t>SEC2291</t>
  </si>
  <si>
    <t>DEPOT MANAGER RANIGUNJ</t>
  </si>
  <si>
    <t>TSRTC RANIGUNJM G ROADSECUNDERABAD</t>
  </si>
  <si>
    <t>SGR3065</t>
  </si>
  <si>
    <t>SANGAREDDY</t>
  </si>
  <si>
    <t>KANDI</t>
  </si>
  <si>
    <t>'-68440.06</t>
  </si>
  <si>
    <t>SY.NO:771/A41,771/AHOTEL MILESTONEKANDI</t>
  </si>
  <si>
    <t>SGR3090</t>
  </si>
  <si>
    <t>DEPOT MANAGER TSRTC BHEL DEPOT RCPURAM</t>
  </si>
  <si>
    <t>PATANCHERU</t>
  </si>
  <si>
    <t>RC PURAM</t>
  </si>
  <si>
    <t>BEERAMGUDA</t>
  </si>
  <si>
    <t>'-1095</t>
  </si>
  <si>
    <t>DEPOT MANAGER,TSRTCDEPOT MANAGER,TSRTCDEPOT MANAGER,TSRTC</t>
  </si>
  <si>
    <t>SGR3237</t>
  </si>
  <si>
    <t>SADASIVPET</t>
  </si>
  <si>
    <t>MUNIPALLY</t>
  </si>
  <si>
    <t>Food Pyramid-Budhera-NH 65, HyyesKamkola village</t>
  </si>
  <si>
    <t>SPT1307</t>
  </si>
  <si>
    <t>PALAKURTHI SRINIVASA RAO S/O SEETHRAMARAO</t>
  </si>
  <si>
    <t>SURYAPET</t>
  </si>
  <si>
    <t>PENPAHAD</t>
  </si>
  <si>
    <t>CHIVEMLA</t>
  </si>
  <si>
    <t>'-57450.01</t>
  </si>
  <si>
    <t>H.No-6-01, Vallabhapuram VillageNH-65 ROAD, Near Saikrishna Hotel,Chivemla(M)Suryapet(D)-508213</t>
  </si>
  <si>
    <t>SPT1315</t>
  </si>
  <si>
    <t>UPMEDIA SOLUTIONS</t>
  </si>
  <si>
    <t>SURYAPET RURAL</t>
  </si>
  <si>
    <t>575/A1/1,576/A,575/A2/2,575/A2,576/A2SURYAPETNA</t>
  </si>
  <si>
    <t>SPT1326</t>
  </si>
  <si>
    <t>DEPOT MANAGER SURYAPET</t>
  </si>
  <si>
    <t>SURYAPET TOWN-II</t>
  </si>
  <si>
    <t>'-3219.01</t>
  </si>
  <si>
    <t>GOVT LAND, SURYAPET HITECH BUSSTAND AREASURYAPET TOWNSURYAPET (Dist.) 508213</t>
  </si>
  <si>
    <t>SPT1331</t>
  </si>
  <si>
    <t>G&amp;T EV CHARGING STATION</t>
  </si>
  <si>
    <t>HUZURNAGAR</t>
  </si>
  <si>
    <t>MUNAGALA</t>
  </si>
  <si>
    <t>256/2/1/2BARAKATH GUDEM,MUNAGALA(M)Suryapet (Dist.) 508233</t>
  </si>
  <si>
    <t>SPT1336</t>
  </si>
  <si>
    <t>M/S TECSO CHARGEZONE LTD</t>
  </si>
  <si>
    <t>'-472203.23</t>
  </si>
  <si>
    <t>SYNO 682,NH-65 VJD TO HYDERABAD ROADRAJU GARI THOTA RESTRAUNTSURYAPET (Dist.) 508213</t>
  </si>
  <si>
    <t>SPT1347</t>
  </si>
  <si>
    <t>Avanthika Enterprises</t>
  </si>
  <si>
    <t>'-1</t>
  </si>
  <si>
    <t>Sy No. 486, H. No: 5-92, Gandhi Nagar</t>
  </si>
  <si>
    <t>SPT1358</t>
  </si>
  <si>
    <t>BUS STAND COMPLEXBUS STAND AREABUS STAND COMPLEX</t>
  </si>
  <si>
    <t>SPT1368</t>
  </si>
  <si>
    <t>land located of admeasuring 60NOVallabapuram</t>
  </si>
  <si>
    <t>SRN3396</t>
  </si>
  <si>
    <t>SRINIVASA ROAD TRANSPORT P LTD</t>
  </si>
  <si>
    <t>SAROORNAGAR</t>
  </si>
  <si>
    <t>IBRAHIMPATNAM</t>
  </si>
  <si>
    <t>ADIBATLA</t>
  </si>
  <si>
    <t>Sewarage Pumping Stations</t>
  </si>
  <si>
    <t>'-3872.96</t>
  </si>
  <si>
    <t>SY NO.110TCS ROADADIBATLA</t>
  </si>
  <si>
    <t>SRN3439</t>
  </si>
  <si>
    <t>DEPOT MANAGER,TSRTC,HAYATHNAGAR - 2 BUS DEPOT</t>
  </si>
  <si>
    <t>HAYATNAGAR</t>
  </si>
  <si>
    <t>HAYATH NAGAR</t>
  </si>
  <si>
    <t>4-7-3014-7-3014-7-301</t>
  </si>
  <si>
    <t>SRN3493</t>
  </si>
  <si>
    <t>UBS ENERGY</t>
  </si>
  <si>
    <t>PEDDA AMBERPET</t>
  </si>
  <si>
    <t>Taaza Foods, Survey no.351, PeTaaza Foods, Survey no.351, PePeddaamber Pet</t>
  </si>
  <si>
    <t>WNP1363</t>
  </si>
  <si>
    <t>WANAPARTHY</t>
  </si>
  <si>
    <t>KOTHAKOTA</t>
  </si>
  <si>
    <t>Food Pyramid-Kothakota-NH 44, yesKothakota</t>
  </si>
  <si>
    <t>YDD1458</t>
  </si>
  <si>
    <t>YADADRI</t>
  </si>
  <si>
    <t>CHOUTUPPAL</t>
  </si>
  <si>
    <t>Jio Bp,Mobility Station,Peddamyes Malkapur</t>
  </si>
  <si>
    <t>YDD1480</t>
  </si>
  <si>
    <t>Jakkidi Kondal Reddy</t>
  </si>
  <si>
    <t>Sy.no.:156/B, Yellagiri(V), ChYesYellagiri</t>
  </si>
  <si>
    <t>Demand amt</t>
  </si>
  <si>
    <t>Units</t>
  </si>
  <si>
    <t>Unit price</t>
  </si>
  <si>
    <t>Power bill</t>
  </si>
  <si>
    <t>Rent</t>
  </si>
  <si>
    <t>GST</t>
  </si>
  <si>
    <t>Salary</t>
  </si>
  <si>
    <t>Maintance</t>
  </si>
  <si>
    <t>Software bill</t>
  </si>
  <si>
    <t>Net Profit</t>
  </si>
  <si>
    <t xml:space="preserve">Total revenue </t>
  </si>
  <si>
    <t>per month</t>
  </si>
  <si>
    <t>Costing</t>
  </si>
  <si>
    <t>Velotron SRPT</t>
  </si>
  <si>
    <t>Velotron -MLG</t>
  </si>
  <si>
    <t>Midway 7</t>
  </si>
  <si>
    <t>Sanchar hotel - MLG</t>
  </si>
  <si>
    <t>Chargezone vivera2</t>
  </si>
  <si>
    <t>Place</t>
  </si>
  <si>
    <t>Suryapet</t>
  </si>
  <si>
    <t>Road</t>
  </si>
  <si>
    <t>NH 65</t>
  </si>
  <si>
    <t>F&amp;B</t>
  </si>
  <si>
    <t xml:space="preserve">Setup </t>
  </si>
  <si>
    <t>Side of Road</t>
  </si>
  <si>
    <t>MOU</t>
  </si>
  <si>
    <t>Type of Connection</t>
  </si>
  <si>
    <t>Bus charging</t>
  </si>
  <si>
    <t>No</t>
  </si>
  <si>
    <t>Around</t>
  </si>
  <si>
    <t>Standalone</t>
  </si>
  <si>
    <t>RHS</t>
  </si>
  <si>
    <t>RHS (Hyd-VJ)</t>
  </si>
  <si>
    <t>Yes</t>
  </si>
  <si>
    <t>Yes (TATA/ Flex Bus)</t>
  </si>
  <si>
    <t>HTM</t>
  </si>
  <si>
    <t xml:space="preserve">Yes </t>
  </si>
  <si>
    <t>Charge Zone</t>
  </si>
  <si>
    <t>Pin</t>
  </si>
  <si>
    <t>Rajugari thota rest.</t>
  </si>
  <si>
    <t>NH65</t>
  </si>
  <si>
    <t>Parking</t>
  </si>
  <si>
    <t>Yes (Fresh bus)</t>
  </si>
  <si>
    <t>Neugo</t>
  </si>
  <si>
    <t>Sri Krishna</t>
  </si>
  <si>
    <t>Standlone</t>
  </si>
  <si>
    <t>LHS</t>
  </si>
  <si>
    <t>Yes (Neugo bus)</t>
  </si>
  <si>
    <t>Logile</t>
  </si>
  <si>
    <t>Thunderplus (Trinity)</t>
  </si>
  <si>
    <t>Yes (buses)</t>
  </si>
  <si>
    <t>Mana Charging</t>
  </si>
  <si>
    <t>Chityal</t>
  </si>
  <si>
    <t>Carnival</t>
  </si>
  <si>
    <t>Miryalguda</t>
  </si>
  <si>
    <t>Madras café</t>
  </si>
  <si>
    <t>Hotel Godavari</t>
  </si>
  <si>
    <t>Uppalpahad</t>
  </si>
  <si>
    <t>Godavari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</si>
</sst>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  <xf numFmtId="44" fontId="18" fillId="0" borderId="0" xfId="0" applyNumberFormat="1" applyFont="1" applyAlignment="1">
      <alignment wrapText="1"/>
    </xf>
    <xf numFmtId="44" fontId="0" fillId="0" borderId="0" xfId="0" applyNumberFormat="1" applyAlignment="1">
      <alignment wrapText="1"/>
    </xf>
    <xf numFmtId="44" fontId="0" fillId="0" borderId="0" xfId="0" applyNumberFormat="1"/>
    <xf numFmtId="44" fontId="19" fillId="0" borderId="0" xfId="0" applyNumberFormat="1" applyFont="1" applyAlignment="1">
      <alignment horizontal="center"/>
    </xf>
    <xf numFmtId="44" fontId="19" fillId="0" borderId="0" xfId="0" applyNumberFormat="1" applyFont="1"/>
    <xf numFmtId="0" fontId="0" fillId="0" borderId="10" xfId="0" applyBorder="1"/>
    <xf numFmtId="44" fontId="0" fillId="0" borderId="10" xfId="0" applyNumberFormat="1" applyBorder="1"/>
    <xf numFmtId="44" fontId="19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center"/>
    </xf>
    <xf numFmtId="44" fontId="0" fillId="0" borderId="11" xfId="0" applyNumberFormat="1" applyBorder="1"/>
    <xf numFmtId="0" fontId="0" fillId="0" borderId="11" xfId="0" applyBorder="1" applyAlignment="1">
      <alignment horizontal="center"/>
    </xf>
    <xf numFmtId="44" fontId="19" fillId="0" borderId="10" xfId="0" applyNumberFormat="1" applyFont="1" applyBorder="1"/>
    <xf numFmtId="44" fontId="19" fillId="0" borderId="10" xfId="0" applyNumberFormat="1" applyFont="1" applyBorder="1" applyAlignment="1">
      <alignment horizontal="left"/>
    </xf>
    <xf numFmtId="44" fontId="20" fillId="0" borderId="10" xfId="0" applyNumberFormat="1" applyFont="1" applyBorder="1" applyAlignment="1">
      <alignment horizontal="left"/>
    </xf>
    <xf numFmtId="0" fontId="0" fillId="0" borderId="10" xfId="0" applyBorder="1" applyAlignment="1">
      <alignment horizontal="left"/>
    </xf>
    <xf numFmtId="44" fontId="0" fillId="0" borderId="10" xfId="0" applyNumberFormat="1" applyBorder="1" applyAlignment="1">
      <alignment horizontal="left"/>
    </xf>
    <xf numFmtId="44" fontId="0" fillId="0" borderId="0" xfId="0" applyNumberFormat="1" applyAlignment="1">
      <alignment horizontal="left"/>
    </xf>
    <xf numFmtId="44" fontId="19" fillId="0" borderId="0" xfId="0" applyNumberFormat="1" applyFont="1" applyAlignment="1">
      <alignment horizontal="left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1D4-7772-7A48-A3CF-931C25F1C3F7}">
  <dimension ref="A1:U60"/>
  <sheetViews>
    <sheetView zoomScale="108" workbookViewId="0">
      <selection activeCell="S13" sqref="S13"/>
    </sheetView>
  </sheetViews>
  <sheetFormatPr baseColWidth="10" defaultColWidth="8.83203125" defaultRowHeight="16" x14ac:dyDescent="0.2"/>
  <cols>
    <col min="1" max="1" width="4.6640625" style="25" bestFit="1" customWidth="1"/>
    <col min="2" max="2" width="7.6640625" bestFit="1" customWidth="1"/>
    <col min="3" max="3" width="30.33203125" customWidth="1"/>
    <col min="4" max="4" width="16" hidden="1" customWidth="1"/>
    <col min="5" max="5" width="13.1640625" hidden="1" customWidth="1"/>
    <col min="6" max="6" width="13.83203125" hidden="1" customWidth="1"/>
    <col min="7" max="7" width="16.33203125" bestFit="1" customWidth="1"/>
    <col min="8" max="8" width="7.6640625" hidden="1" customWidth="1"/>
    <col min="9" max="9" width="24.33203125" hidden="1" customWidth="1"/>
    <col min="10" max="10" width="27.1640625" hidden="1" customWidth="1"/>
    <col min="11" max="11" width="10.5" bestFit="1" customWidth="1"/>
    <col min="12" max="12" width="3.5" hidden="1" customWidth="1"/>
    <col min="13" max="13" width="6" hidden="1" customWidth="1"/>
    <col min="14" max="14" width="4.5" hidden="1" customWidth="1"/>
    <col min="15" max="15" width="5.33203125" hidden="1" customWidth="1"/>
    <col min="16" max="16" width="11.6640625" hidden="1" customWidth="1"/>
    <col min="17" max="17" width="9.1640625" hidden="1" customWidth="1"/>
    <col min="18" max="18" width="9.83203125" hidden="1" customWidth="1"/>
    <col min="19" max="19" width="10.6640625" bestFit="1" customWidth="1"/>
    <col min="20" max="20" width="12.6640625" style="7" bestFit="1" customWidth="1"/>
    <col min="21" max="21" width="35.33203125" bestFit="1" customWidth="1"/>
  </cols>
  <sheetData>
    <row r="1" spans="1:21" ht="30" x14ac:dyDescent="0.2">
      <c r="A1" s="2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2" t="s">
        <v>20</v>
      </c>
    </row>
    <row r="2" spans="1:21" ht="30" x14ac:dyDescent="0.2">
      <c r="A2" s="24">
        <v>1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24</v>
      </c>
      <c r="H2" s="2" t="s">
        <v>25</v>
      </c>
      <c r="I2" s="2" t="s">
        <v>26</v>
      </c>
      <c r="J2" s="2" t="s">
        <v>27</v>
      </c>
      <c r="K2" s="3">
        <v>44167</v>
      </c>
      <c r="L2" s="2">
        <v>9</v>
      </c>
      <c r="M2" s="2">
        <v>11</v>
      </c>
      <c r="N2" s="2">
        <v>128</v>
      </c>
      <c r="O2" s="2">
        <v>1</v>
      </c>
      <c r="P2" s="1"/>
      <c r="Q2" s="2">
        <v>0</v>
      </c>
      <c r="R2" s="2">
        <v>0</v>
      </c>
      <c r="S2" s="3">
        <v>46088</v>
      </c>
      <c r="T2" s="5">
        <v>65091</v>
      </c>
      <c r="U2" s="2" t="s">
        <v>28</v>
      </c>
    </row>
    <row r="3" spans="1:21" x14ac:dyDescent="0.2">
      <c r="A3" s="24">
        <v>2</v>
      </c>
      <c r="B3" s="2" t="s">
        <v>29</v>
      </c>
      <c r="C3" s="2" t="s">
        <v>30</v>
      </c>
      <c r="D3" s="2" t="s">
        <v>23</v>
      </c>
      <c r="E3" s="2" t="s">
        <v>23</v>
      </c>
      <c r="F3" s="2" t="s">
        <v>24</v>
      </c>
      <c r="G3" s="2" t="s">
        <v>31</v>
      </c>
      <c r="H3" s="2" t="s">
        <v>25</v>
      </c>
      <c r="I3" s="2" t="s">
        <v>26</v>
      </c>
      <c r="J3" s="2" t="s">
        <v>32</v>
      </c>
      <c r="K3" s="3">
        <v>45086</v>
      </c>
      <c r="L3" s="2">
        <v>9</v>
      </c>
      <c r="M3" s="2">
        <v>11</v>
      </c>
      <c r="N3" s="2">
        <v>140</v>
      </c>
      <c r="O3" s="2">
        <v>1</v>
      </c>
      <c r="P3" s="1"/>
      <c r="Q3" s="2">
        <v>0</v>
      </c>
      <c r="R3" s="2">
        <v>0</v>
      </c>
      <c r="S3" s="3">
        <v>46078</v>
      </c>
      <c r="T3" s="5">
        <v>31198</v>
      </c>
      <c r="U3" s="2" t="s">
        <v>33</v>
      </c>
    </row>
    <row r="4" spans="1:21" x14ac:dyDescent="0.2">
      <c r="A4" s="24">
        <v>3</v>
      </c>
      <c r="B4" s="2" t="s">
        <v>34</v>
      </c>
      <c r="C4" s="2" t="s">
        <v>35</v>
      </c>
      <c r="D4" s="2" t="s">
        <v>23</v>
      </c>
      <c r="E4" s="2" t="s">
        <v>23</v>
      </c>
      <c r="F4" s="2" t="s">
        <v>24</v>
      </c>
      <c r="G4" s="2" t="s">
        <v>24</v>
      </c>
      <c r="H4" s="2" t="s">
        <v>25</v>
      </c>
      <c r="I4" s="2" t="s">
        <v>26</v>
      </c>
      <c r="J4" s="2" t="s">
        <v>36</v>
      </c>
      <c r="K4" s="3">
        <v>45288</v>
      </c>
      <c r="L4" s="2">
        <v>9</v>
      </c>
      <c r="M4" s="2">
        <v>11</v>
      </c>
      <c r="N4" s="2">
        <v>400</v>
      </c>
      <c r="O4" s="2">
        <v>1</v>
      </c>
      <c r="P4" s="1"/>
      <c r="Q4" s="2">
        <v>261676.89</v>
      </c>
      <c r="R4" s="2">
        <v>0</v>
      </c>
      <c r="S4" s="3">
        <v>46083</v>
      </c>
      <c r="T4" s="5">
        <v>268346</v>
      </c>
      <c r="U4" s="2" t="s">
        <v>37</v>
      </c>
    </row>
    <row r="5" spans="1:21" ht="30" x14ac:dyDescent="0.2">
      <c r="A5" s="24">
        <v>4</v>
      </c>
      <c r="B5" s="2" t="s">
        <v>38</v>
      </c>
      <c r="C5" s="2" t="s">
        <v>39</v>
      </c>
      <c r="D5" s="2" t="s">
        <v>23</v>
      </c>
      <c r="E5" s="2" t="s">
        <v>23</v>
      </c>
      <c r="F5" s="2" t="s">
        <v>24</v>
      </c>
      <c r="G5" s="2" t="s">
        <v>31</v>
      </c>
      <c r="H5" s="2" t="s">
        <v>25</v>
      </c>
      <c r="I5" s="2" t="s">
        <v>26</v>
      </c>
      <c r="J5" s="2" t="s">
        <v>40</v>
      </c>
      <c r="K5" s="3">
        <v>45563</v>
      </c>
      <c r="L5" s="2">
        <v>9</v>
      </c>
      <c r="M5" s="2">
        <v>11</v>
      </c>
      <c r="N5" s="2">
        <v>180</v>
      </c>
      <c r="O5" s="2">
        <v>1</v>
      </c>
      <c r="P5" s="1"/>
      <c r="Q5" s="2" t="s">
        <v>41</v>
      </c>
      <c r="R5" s="2">
        <v>0</v>
      </c>
      <c r="S5" s="3">
        <v>46094</v>
      </c>
      <c r="T5" s="5">
        <v>208787</v>
      </c>
      <c r="U5" s="2" t="s">
        <v>42</v>
      </c>
    </row>
    <row r="6" spans="1:21" x14ac:dyDescent="0.2">
      <c r="A6" s="24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46</v>
      </c>
      <c r="G6" s="2" t="s">
        <v>47</v>
      </c>
      <c r="H6" s="2" t="s">
        <v>25</v>
      </c>
      <c r="I6" s="2" t="s">
        <v>26</v>
      </c>
      <c r="J6" s="2" t="s">
        <v>27</v>
      </c>
      <c r="K6" s="3">
        <v>45072</v>
      </c>
      <c r="L6" s="2">
        <v>9</v>
      </c>
      <c r="M6" s="2">
        <v>11</v>
      </c>
      <c r="N6" s="2">
        <v>500</v>
      </c>
      <c r="O6" s="2">
        <v>1</v>
      </c>
      <c r="P6" s="1"/>
      <c r="Q6" s="2" t="s">
        <v>48</v>
      </c>
      <c r="R6" s="2">
        <v>0</v>
      </c>
      <c r="S6" s="3">
        <v>46079</v>
      </c>
      <c r="T6" s="5">
        <v>1526819</v>
      </c>
      <c r="U6" s="2" t="s">
        <v>49</v>
      </c>
    </row>
    <row r="7" spans="1:21" ht="30" x14ac:dyDescent="0.2">
      <c r="A7" s="24">
        <v>6</v>
      </c>
      <c r="B7" s="2" t="s">
        <v>50</v>
      </c>
      <c r="C7" s="2" t="s">
        <v>51</v>
      </c>
      <c r="D7" s="2" t="s">
        <v>45</v>
      </c>
      <c r="E7" s="2" t="s">
        <v>52</v>
      </c>
      <c r="F7" s="2" t="s">
        <v>52</v>
      </c>
      <c r="G7" s="2" t="s">
        <v>52</v>
      </c>
      <c r="H7" s="2" t="s">
        <v>25</v>
      </c>
      <c r="I7" s="2" t="s">
        <v>26</v>
      </c>
      <c r="J7" s="2" t="s">
        <v>27</v>
      </c>
      <c r="K7" s="3">
        <v>45273</v>
      </c>
      <c r="L7" s="2">
        <v>9</v>
      </c>
      <c r="M7" s="2">
        <v>11</v>
      </c>
      <c r="N7" s="2">
        <v>277</v>
      </c>
      <c r="O7" s="2">
        <v>1</v>
      </c>
      <c r="P7" s="1"/>
      <c r="Q7" s="2" t="s">
        <v>53</v>
      </c>
      <c r="R7" s="2">
        <v>0</v>
      </c>
      <c r="S7" s="3">
        <v>46094</v>
      </c>
      <c r="T7" s="5">
        <v>140971</v>
      </c>
      <c r="U7" s="2" t="s">
        <v>54</v>
      </c>
    </row>
    <row r="8" spans="1:21" ht="30" x14ac:dyDescent="0.2">
      <c r="A8" s="24">
        <v>7</v>
      </c>
      <c r="B8" s="2" t="s">
        <v>55</v>
      </c>
      <c r="C8" s="2" t="s">
        <v>56</v>
      </c>
      <c r="D8" s="2" t="s">
        <v>45</v>
      </c>
      <c r="E8" s="2" t="s">
        <v>57</v>
      </c>
      <c r="F8" s="2" t="s">
        <v>57</v>
      </c>
      <c r="G8" s="2" t="s">
        <v>57</v>
      </c>
      <c r="H8" s="2" t="s">
        <v>25</v>
      </c>
      <c r="I8" s="2" t="s">
        <v>26</v>
      </c>
      <c r="J8" s="2" t="s">
        <v>58</v>
      </c>
      <c r="K8" s="3">
        <v>45465</v>
      </c>
      <c r="L8" s="2">
        <v>9</v>
      </c>
      <c r="M8" s="2">
        <v>11</v>
      </c>
      <c r="N8" s="2">
        <v>400</v>
      </c>
      <c r="O8" s="2">
        <v>1</v>
      </c>
      <c r="P8" s="1"/>
      <c r="Q8" s="2" t="s">
        <v>59</v>
      </c>
      <c r="R8" s="2">
        <v>0</v>
      </c>
      <c r="S8" s="3">
        <v>46101</v>
      </c>
      <c r="T8" s="5">
        <v>350979</v>
      </c>
      <c r="U8" s="2" t="s">
        <v>60</v>
      </c>
    </row>
    <row r="9" spans="1:21" x14ac:dyDescent="0.2">
      <c r="A9" s="24">
        <v>8</v>
      </c>
      <c r="B9" s="2" t="s">
        <v>61</v>
      </c>
      <c r="C9" s="2" t="s">
        <v>62</v>
      </c>
      <c r="D9" s="2" t="s">
        <v>45</v>
      </c>
      <c r="E9" s="2" t="s">
        <v>52</v>
      </c>
      <c r="F9" s="2" t="s">
        <v>52</v>
      </c>
      <c r="G9" s="2" t="s">
        <v>52</v>
      </c>
      <c r="H9" s="2" t="s">
        <v>63</v>
      </c>
      <c r="I9" s="2" t="s">
        <v>64</v>
      </c>
      <c r="J9" s="1"/>
      <c r="K9" s="3">
        <v>45568</v>
      </c>
      <c r="L9" s="2">
        <v>9</v>
      </c>
      <c r="M9" s="2">
        <v>33</v>
      </c>
      <c r="N9" s="2">
        <v>6000</v>
      </c>
      <c r="O9" s="2">
        <v>1</v>
      </c>
      <c r="P9" s="1"/>
      <c r="Q9" s="2" t="s">
        <v>65</v>
      </c>
      <c r="R9" s="2">
        <v>0</v>
      </c>
      <c r="S9" s="3">
        <v>46094</v>
      </c>
      <c r="T9" s="5">
        <v>4147892</v>
      </c>
      <c r="U9" s="2" t="s">
        <v>66</v>
      </c>
    </row>
    <row r="10" spans="1:21" x14ac:dyDescent="0.2">
      <c r="A10" s="24">
        <v>9</v>
      </c>
      <c r="B10" s="2" t="s">
        <v>67</v>
      </c>
      <c r="C10" s="2" t="s">
        <v>68</v>
      </c>
      <c r="D10" s="2" t="s">
        <v>45</v>
      </c>
      <c r="E10" s="2" t="s">
        <v>52</v>
      </c>
      <c r="F10" s="2" t="s">
        <v>52</v>
      </c>
      <c r="G10" s="2" t="s">
        <v>52</v>
      </c>
      <c r="H10" s="2" t="s">
        <v>25</v>
      </c>
      <c r="I10" s="2" t="s">
        <v>26</v>
      </c>
      <c r="J10" s="2" t="s">
        <v>27</v>
      </c>
      <c r="K10" s="3">
        <v>45716</v>
      </c>
      <c r="L10" s="2">
        <v>9</v>
      </c>
      <c r="M10" s="2">
        <v>11</v>
      </c>
      <c r="N10" s="2">
        <v>300</v>
      </c>
      <c r="O10" s="2">
        <v>1</v>
      </c>
      <c r="P10" s="1"/>
      <c r="Q10" s="2" t="s">
        <v>69</v>
      </c>
      <c r="R10" s="2">
        <v>0</v>
      </c>
      <c r="S10" s="3">
        <v>46078</v>
      </c>
      <c r="T10" s="5">
        <v>373042</v>
      </c>
      <c r="U10" s="2" t="s">
        <v>70</v>
      </c>
    </row>
    <row r="11" spans="1:21" ht="30" x14ac:dyDescent="0.2">
      <c r="A11" s="24">
        <v>10</v>
      </c>
      <c r="B11" s="2" t="s">
        <v>71</v>
      </c>
      <c r="C11" s="2" t="s">
        <v>72</v>
      </c>
      <c r="D11" s="2" t="s">
        <v>45</v>
      </c>
      <c r="E11" s="2" t="s">
        <v>52</v>
      </c>
      <c r="F11" s="2" t="s">
        <v>52</v>
      </c>
      <c r="G11" s="2" t="s">
        <v>52</v>
      </c>
      <c r="H11" s="2" t="s">
        <v>25</v>
      </c>
      <c r="I11" s="2" t="s">
        <v>26</v>
      </c>
      <c r="J11" s="2" t="s">
        <v>73</v>
      </c>
      <c r="K11" s="3">
        <v>45957</v>
      </c>
      <c r="L11" s="2">
        <v>9</v>
      </c>
      <c r="M11" s="2">
        <v>11</v>
      </c>
      <c r="N11" s="2">
        <v>240</v>
      </c>
      <c r="O11" s="2">
        <v>1</v>
      </c>
      <c r="P11" s="1"/>
      <c r="Q11" s="2">
        <v>0</v>
      </c>
      <c r="R11" s="2">
        <v>0</v>
      </c>
      <c r="S11" s="3">
        <v>46093</v>
      </c>
      <c r="T11" s="5">
        <v>159752</v>
      </c>
      <c r="U11" s="2" t="s">
        <v>74</v>
      </c>
    </row>
    <row r="12" spans="1:21" x14ac:dyDescent="0.2">
      <c r="A12" s="24">
        <v>11</v>
      </c>
      <c r="B12" s="2" t="s">
        <v>75</v>
      </c>
      <c r="C12" s="2" t="s">
        <v>76</v>
      </c>
      <c r="D12" s="2" t="s">
        <v>77</v>
      </c>
      <c r="E12" s="2" t="s">
        <v>77</v>
      </c>
      <c r="F12" s="2" t="s">
        <v>78</v>
      </c>
      <c r="G12" s="2" t="s">
        <v>79</v>
      </c>
      <c r="H12" s="2" t="s">
        <v>25</v>
      </c>
      <c r="I12" s="2" t="s">
        <v>26</v>
      </c>
      <c r="J12" s="2" t="s">
        <v>36</v>
      </c>
      <c r="K12" s="3">
        <v>45554</v>
      </c>
      <c r="L12" s="2">
        <v>9</v>
      </c>
      <c r="M12" s="2">
        <v>11</v>
      </c>
      <c r="N12" s="2">
        <v>200</v>
      </c>
      <c r="O12" s="2">
        <v>1</v>
      </c>
      <c r="P12" s="1"/>
      <c r="Q12" s="2">
        <v>125597</v>
      </c>
      <c r="R12" s="2">
        <v>0</v>
      </c>
      <c r="S12" s="3">
        <v>46083</v>
      </c>
      <c r="T12" s="5">
        <v>125597</v>
      </c>
      <c r="U12" s="2">
        <v>411411411</v>
      </c>
    </row>
    <row r="13" spans="1:21" ht="30" x14ac:dyDescent="0.2">
      <c r="A13" s="24">
        <v>12</v>
      </c>
      <c r="B13" s="2" t="s">
        <v>80</v>
      </c>
      <c r="C13" s="2" t="s">
        <v>81</v>
      </c>
      <c r="D13" s="2" t="s">
        <v>77</v>
      </c>
      <c r="E13" s="2" t="s">
        <v>77</v>
      </c>
      <c r="F13" s="2" t="s">
        <v>78</v>
      </c>
      <c r="G13" s="2" t="s">
        <v>82</v>
      </c>
      <c r="H13" s="2" t="s">
        <v>25</v>
      </c>
      <c r="I13" s="2" t="s">
        <v>26</v>
      </c>
      <c r="J13" s="2" t="s">
        <v>73</v>
      </c>
      <c r="K13" s="3">
        <v>45660</v>
      </c>
      <c r="L13" s="2">
        <v>9</v>
      </c>
      <c r="M13" s="2">
        <v>11</v>
      </c>
      <c r="N13" s="2">
        <v>283</v>
      </c>
      <c r="O13" s="2">
        <v>1</v>
      </c>
      <c r="P13" s="1"/>
      <c r="Q13" s="2">
        <v>0</v>
      </c>
      <c r="R13" s="2">
        <v>0</v>
      </c>
      <c r="S13" s="3">
        <v>46094</v>
      </c>
      <c r="T13" s="5">
        <v>281996</v>
      </c>
      <c r="U13" s="2" t="s">
        <v>83</v>
      </c>
    </row>
    <row r="14" spans="1:21" ht="30" x14ac:dyDescent="0.2">
      <c r="A14" s="24">
        <v>13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25</v>
      </c>
      <c r="I14" s="2" t="s">
        <v>26</v>
      </c>
      <c r="J14" s="2" t="s">
        <v>90</v>
      </c>
      <c r="K14" s="3">
        <v>44893</v>
      </c>
      <c r="L14" s="2">
        <v>9</v>
      </c>
      <c r="M14" s="2">
        <v>11</v>
      </c>
      <c r="N14" s="2">
        <v>150</v>
      </c>
      <c r="O14" s="2">
        <v>1</v>
      </c>
      <c r="P14" s="1"/>
      <c r="Q14" s="2" t="s">
        <v>91</v>
      </c>
      <c r="R14" s="2">
        <v>0</v>
      </c>
      <c r="S14" s="3">
        <v>46088</v>
      </c>
      <c r="T14" s="5">
        <v>206087</v>
      </c>
      <c r="U14" s="2" t="s">
        <v>92</v>
      </c>
    </row>
    <row r="15" spans="1:21" ht="30" x14ac:dyDescent="0.2">
      <c r="A15" s="24">
        <v>14</v>
      </c>
      <c r="B15" s="2" t="s">
        <v>93</v>
      </c>
      <c r="C15" s="2" t="s">
        <v>94</v>
      </c>
      <c r="D15" s="2" t="s">
        <v>86</v>
      </c>
      <c r="E15" s="2" t="s">
        <v>95</v>
      </c>
      <c r="F15" s="2" t="s">
        <v>95</v>
      </c>
      <c r="G15" s="2" t="s">
        <v>95</v>
      </c>
      <c r="H15" s="2" t="s">
        <v>25</v>
      </c>
      <c r="I15" s="2" t="s">
        <v>26</v>
      </c>
      <c r="J15" s="2" t="s">
        <v>73</v>
      </c>
      <c r="K15" s="3">
        <v>45845</v>
      </c>
      <c r="L15" s="2">
        <v>9</v>
      </c>
      <c r="M15" s="2">
        <v>11</v>
      </c>
      <c r="N15" s="2">
        <v>120</v>
      </c>
      <c r="O15" s="2">
        <v>1</v>
      </c>
      <c r="P15" s="1"/>
      <c r="Q15" s="2">
        <v>0</v>
      </c>
      <c r="R15" s="2">
        <v>0</v>
      </c>
      <c r="S15" s="3">
        <v>46076</v>
      </c>
      <c r="T15" s="5">
        <v>27140</v>
      </c>
      <c r="U15" s="2" t="s">
        <v>96</v>
      </c>
    </row>
    <row r="16" spans="1:21" x14ac:dyDescent="0.2">
      <c r="A16" s="24">
        <v>15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63</v>
      </c>
      <c r="I16" s="2" t="s">
        <v>103</v>
      </c>
      <c r="J16" s="2" t="s">
        <v>32</v>
      </c>
      <c r="K16" s="3">
        <v>45745</v>
      </c>
      <c r="L16" s="2">
        <v>9</v>
      </c>
      <c r="M16" s="2">
        <v>33</v>
      </c>
      <c r="N16" s="2">
        <v>3000</v>
      </c>
      <c r="O16" s="2">
        <v>1</v>
      </c>
      <c r="P16" s="1"/>
      <c r="Q16" s="2" t="s">
        <v>104</v>
      </c>
      <c r="R16" s="2">
        <v>0</v>
      </c>
      <c r="S16" s="3">
        <v>46094</v>
      </c>
      <c r="T16" s="5">
        <v>3440422</v>
      </c>
      <c r="U16" s="2" t="s">
        <v>105</v>
      </c>
    </row>
    <row r="17" spans="1:21" x14ac:dyDescent="0.2">
      <c r="A17" s="24">
        <v>16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109</v>
      </c>
      <c r="G17" s="2" t="s">
        <v>110</v>
      </c>
      <c r="H17" s="2" t="s">
        <v>25</v>
      </c>
      <c r="I17" s="2" t="s">
        <v>26</v>
      </c>
      <c r="J17" s="2" t="s">
        <v>32</v>
      </c>
      <c r="K17" s="3">
        <v>44729</v>
      </c>
      <c r="L17" s="2">
        <v>9</v>
      </c>
      <c r="M17" s="2">
        <v>11</v>
      </c>
      <c r="N17" s="2">
        <v>70</v>
      </c>
      <c r="O17" s="2">
        <v>1</v>
      </c>
      <c r="P17" s="1"/>
      <c r="Q17" s="2">
        <v>150.99</v>
      </c>
      <c r="R17" s="2">
        <v>0</v>
      </c>
      <c r="S17" s="3">
        <v>46096</v>
      </c>
      <c r="T17" s="5">
        <v>16395</v>
      </c>
      <c r="U17" s="2" t="s">
        <v>111</v>
      </c>
    </row>
    <row r="18" spans="1:21" x14ac:dyDescent="0.2">
      <c r="A18" s="24">
        <v>17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116</v>
      </c>
      <c r="H18" s="2" t="s">
        <v>63</v>
      </c>
      <c r="I18" s="2" t="s">
        <v>103</v>
      </c>
      <c r="J18" s="1"/>
      <c r="K18" s="3">
        <v>43497</v>
      </c>
      <c r="L18" s="2">
        <v>9</v>
      </c>
      <c r="M18" s="2">
        <v>11</v>
      </c>
      <c r="N18" s="2">
        <v>2500</v>
      </c>
      <c r="O18" s="2">
        <v>1</v>
      </c>
      <c r="P18" s="1"/>
      <c r="Q18" s="2">
        <v>0</v>
      </c>
      <c r="R18" s="2">
        <v>0</v>
      </c>
      <c r="S18" s="3">
        <v>46094</v>
      </c>
      <c r="T18" s="5">
        <v>4090242</v>
      </c>
      <c r="U18" s="2" t="s">
        <v>117</v>
      </c>
    </row>
    <row r="19" spans="1:21" ht="30" x14ac:dyDescent="0.2">
      <c r="A19" s="24">
        <v>18</v>
      </c>
      <c r="B19" s="2" t="s">
        <v>118</v>
      </c>
      <c r="C19" s="2" t="s">
        <v>119</v>
      </c>
      <c r="D19" s="2" t="s">
        <v>114</v>
      </c>
      <c r="E19" s="2" t="s">
        <v>115</v>
      </c>
      <c r="F19" s="2" t="s">
        <v>116</v>
      </c>
      <c r="G19" s="2" t="s">
        <v>120</v>
      </c>
      <c r="H19" s="2" t="s">
        <v>25</v>
      </c>
      <c r="I19" s="2" t="s">
        <v>26</v>
      </c>
      <c r="J19" s="2" t="s">
        <v>27</v>
      </c>
      <c r="K19" s="3">
        <v>44825</v>
      </c>
      <c r="L19" s="2">
        <v>9</v>
      </c>
      <c r="M19" s="2">
        <v>11</v>
      </c>
      <c r="N19" s="2">
        <v>490</v>
      </c>
      <c r="O19" s="2">
        <v>1</v>
      </c>
      <c r="P19" s="1"/>
      <c r="Q19" s="2" t="s">
        <v>121</v>
      </c>
      <c r="R19" s="2">
        <v>0</v>
      </c>
      <c r="S19" s="3">
        <v>46099</v>
      </c>
      <c r="T19" s="5">
        <v>1412352</v>
      </c>
      <c r="U19" s="2" t="s">
        <v>122</v>
      </c>
    </row>
    <row r="20" spans="1:21" x14ac:dyDescent="0.2">
      <c r="A20" s="24">
        <v>19</v>
      </c>
      <c r="B20" s="2" t="s">
        <v>123</v>
      </c>
      <c r="C20" s="2" t="s">
        <v>124</v>
      </c>
      <c r="D20" s="2" t="s">
        <v>114</v>
      </c>
      <c r="E20" s="2" t="s">
        <v>115</v>
      </c>
      <c r="F20" s="2" t="s">
        <v>116</v>
      </c>
      <c r="G20" s="2" t="s">
        <v>125</v>
      </c>
      <c r="H20" s="2" t="s">
        <v>25</v>
      </c>
      <c r="I20" s="2" t="s">
        <v>26</v>
      </c>
      <c r="J20" s="2" t="s">
        <v>27</v>
      </c>
      <c r="K20" s="3">
        <v>45516</v>
      </c>
      <c r="L20" s="2">
        <v>9</v>
      </c>
      <c r="M20" s="2">
        <v>11</v>
      </c>
      <c r="N20" s="2">
        <v>120</v>
      </c>
      <c r="O20" s="2">
        <v>1</v>
      </c>
      <c r="P20" s="1"/>
      <c r="Q20" s="2" t="s">
        <v>126</v>
      </c>
      <c r="R20" s="2">
        <v>0</v>
      </c>
      <c r="S20" s="3">
        <v>45990</v>
      </c>
      <c r="T20" s="5">
        <v>113693</v>
      </c>
      <c r="U20" s="2" t="s">
        <v>127</v>
      </c>
    </row>
    <row r="21" spans="1:21" ht="30" x14ac:dyDescent="0.2">
      <c r="A21" s="24">
        <v>20</v>
      </c>
      <c r="B21" s="2" t="s">
        <v>128</v>
      </c>
      <c r="C21" s="2" t="s">
        <v>129</v>
      </c>
      <c r="D21" s="2" t="s">
        <v>114</v>
      </c>
      <c r="E21" s="2" t="s">
        <v>115</v>
      </c>
      <c r="F21" s="2" t="s">
        <v>115</v>
      </c>
      <c r="G21" s="2" t="s">
        <v>115</v>
      </c>
      <c r="H21" s="2" t="s">
        <v>25</v>
      </c>
      <c r="I21" s="2" t="s">
        <v>26</v>
      </c>
      <c r="J21" s="2" t="s">
        <v>73</v>
      </c>
      <c r="K21" s="3">
        <v>45828</v>
      </c>
      <c r="L21" s="2">
        <v>9</v>
      </c>
      <c r="M21" s="2">
        <v>11</v>
      </c>
      <c r="N21" s="2">
        <v>120</v>
      </c>
      <c r="O21" s="2">
        <v>1</v>
      </c>
      <c r="P21" s="1"/>
      <c r="Q21" s="2">
        <v>0</v>
      </c>
      <c r="R21" s="2">
        <v>0</v>
      </c>
      <c r="S21" s="3">
        <v>46071</v>
      </c>
      <c r="T21" s="5">
        <v>26820</v>
      </c>
      <c r="U21" s="2" t="s">
        <v>130</v>
      </c>
    </row>
    <row r="22" spans="1:21" ht="30" x14ac:dyDescent="0.2">
      <c r="A22" s="24">
        <v>21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134</v>
      </c>
      <c r="G22" s="2" t="s">
        <v>134</v>
      </c>
      <c r="H22" s="2" t="s">
        <v>25</v>
      </c>
      <c r="I22" s="2" t="s">
        <v>26</v>
      </c>
      <c r="J22" s="2" t="s">
        <v>73</v>
      </c>
      <c r="K22" s="3">
        <v>45784</v>
      </c>
      <c r="L22" s="2">
        <v>9</v>
      </c>
      <c r="M22" s="2">
        <v>11</v>
      </c>
      <c r="N22" s="2">
        <v>120</v>
      </c>
      <c r="O22" s="2">
        <v>1</v>
      </c>
      <c r="P22" s="1"/>
      <c r="Q22" s="2">
        <v>0</v>
      </c>
      <c r="R22" s="2">
        <v>0</v>
      </c>
      <c r="S22" s="3">
        <v>46093</v>
      </c>
      <c r="T22" s="5">
        <v>43747</v>
      </c>
      <c r="U22" s="2" t="s">
        <v>135</v>
      </c>
    </row>
    <row r="23" spans="1:21" x14ac:dyDescent="0.2">
      <c r="A23" s="24">
        <v>22</v>
      </c>
      <c r="B23" s="2" t="s">
        <v>136</v>
      </c>
      <c r="C23" s="2" t="s">
        <v>137</v>
      </c>
      <c r="D23" s="2" t="s">
        <v>133</v>
      </c>
      <c r="E23" s="2" t="s">
        <v>134</v>
      </c>
      <c r="F23" s="2" t="s">
        <v>134</v>
      </c>
      <c r="G23" s="2" t="s">
        <v>138</v>
      </c>
      <c r="H23" s="2" t="s">
        <v>25</v>
      </c>
      <c r="I23" s="2" t="s">
        <v>26</v>
      </c>
      <c r="J23" s="2" t="s">
        <v>73</v>
      </c>
      <c r="K23" s="3">
        <v>45874</v>
      </c>
      <c r="L23" s="2">
        <v>9</v>
      </c>
      <c r="M23" s="2">
        <v>11</v>
      </c>
      <c r="N23" s="2">
        <v>120</v>
      </c>
      <c r="O23" s="2">
        <v>1</v>
      </c>
      <c r="P23" s="1"/>
      <c r="Q23" s="2">
        <v>0</v>
      </c>
      <c r="R23" s="2">
        <v>0</v>
      </c>
      <c r="S23" s="3">
        <v>46092</v>
      </c>
      <c r="T23" s="5">
        <v>30313</v>
      </c>
      <c r="U23" s="2" t="s">
        <v>139</v>
      </c>
    </row>
    <row r="24" spans="1:21" ht="30" x14ac:dyDescent="0.2">
      <c r="A24" s="24">
        <v>23</v>
      </c>
      <c r="B24" s="2" t="s">
        <v>140</v>
      </c>
      <c r="C24" s="2" t="s">
        <v>51</v>
      </c>
      <c r="D24" s="2" t="s">
        <v>141</v>
      </c>
      <c r="E24" s="2" t="s">
        <v>141</v>
      </c>
      <c r="F24" s="2" t="s">
        <v>142</v>
      </c>
      <c r="G24" s="2" t="s">
        <v>143</v>
      </c>
      <c r="H24" s="2" t="s">
        <v>25</v>
      </c>
      <c r="I24" s="2" t="s">
        <v>26</v>
      </c>
      <c r="J24" s="2" t="s">
        <v>27</v>
      </c>
      <c r="K24" s="3">
        <v>44936</v>
      </c>
      <c r="L24" s="2">
        <v>9</v>
      </c>
      <c r="M24" s="2">
        <v>11</v>
      </c>
      <c r="N24" s="2">
        <v>250</v>
      </c>
      <c r="O24" s="2">
        <v>1</v>
      </c>
      <c r="P24" s="1"/>
      <c r="Q24" s="2">
        <v>0</v>
      </c>
      <c r="R24" s="2">
        <v>0</v>
      </c>
      <c r="S24" s="3">
        <v>46094</v>
      </c>
      <c r="T24" s="5">
        <v>117467</v>
      </c>
      <c r="U24" s="2" t="s">
        <v>144</v>
      </c>
    </row>
    <row r="25" spans="1:21" ht="30" x14ac:dyDescent="0.2">
      <c r="A25" s="24">
        <v>24</v>
      </c>
      <c r="B25" s="2" t="s">
        <v>145</v>
      </c>
      <c r="C25" s="2" t="s">
        <v>146</v>
      </c>
      <c r="D25" s="2" t="s">
        <v>141</v>
      </c>
      <c r="E25" s="2" t="s">
        <v>141</v>
      </c>
      <c r="F25" s="2" t="s">
        <v>147</v>
      </c>
      <c r="G25" s="2" t="s">
        <v>148</v>
      </c>
      <c r="H25" s="2" t="s">
        <v>25</v>
      </c>
      <c r="I25" s="2" t="s">
        <v>26</v>
      </c>
      <c r="J25" s="2" t="s">
        <v>36</v>
      </c>
      <c r="K25" s="3">
        <v>45148</v>
      </c>
      <c r="L25" s="2">
        <v>9</v>
      </c>
      <c r="M25" s="2">
        <v>11</v>
      </c>
      <c r="N25" s="2">
        <v>130</v>
      </c>
      <c r="O25" s="2">
        <v>99</v>
      </c>
      <c r="P25" s="4">
        <v>45931</v>
      </c>
      <c r="Q25" s="2">
        <v>37825</v>
      </c>
      <c r="R25" s="2">
        <v>0</v>
      </c>
      <c r="S25" s="3">
        <v>45745</v>
      </c>
      <c r="T25" s="5">
        <v>28550</v>
      </c>
      <c r="U25" s="2" t="s">
        <v>149</v>
      </c>
    </row>
    <row r="26" spans="1:21" x14ac:dyDescent="0.2">
      <c r="A26" s="24">
        <v>25</v>
      </c>
      <c r="B26" s="2" t="s">
        <v>150</v>
      </c>
      <c r="C26" s="2" t="s">
        <v>151</v>
      </c>
      <c r="D26" s="2" t="s">
        <v>141</v>
      </c>
      <c r="E26" s="2" t="s">
        <v>141</v>
      </c>
      <c r="F26" s="2" t="s">
        <v>147</v>
      </c>
      <c r="G26" s="2" t="s">
        <v>148</v>
      </c>
      <c r="H26" s="2" t="s">
        <v>25</v>
      </c>
      <c r="I26" s="2" t="s">
        <v>26</v>
      </c>
      <c r="J26" s="2" t="s">
        <v>36</v>
      </c>
      <c r="K26" s="3">
        <v>45212</v>
      </c>
      <c r="L26" s="2">
        <v>9</v>
      </c>
      <c r="M26" s="2">
        <v>11</v>
      </c>
      <c r="N26" s="2">
        <v>550</v>
      </c>
      <c r="O26" s="2">
        <v>1</v>
      </c>
      <c r="P26" s="1"/>
      <c r="Q26" s="2" t="s">
        <v>152</v>
      </c>
      <c r="R26" s="2">
        <v>0</v>
      </c>
      <c r="S26" s="3">
        <v>46099</v>
      </c>
      <c r="T26" s="5">
        <v>208330</v>
      </c>
      <c r="U26" s="2" t="s">
        <v>153</v>
      </c>
    </row>
    <row r="27" spans="1:21" ht="30" x14ac:dyDescent="0.2">
      <c r="A27" s="24">
        <v>26</v>
      </c>
      <c r="B27" s="2" t="s">
        <v>154</v>
      </c>
      <c r="C27" s="2" t="s">
        <v>155</v>
      </c>
      <c r="D27" s="2" t="s">
        <v>141</v>
      </c>
      <c r="E27" s="2" t="s">
        <v>156</v>
      </c>
      <c r="F27" s="2" t="s">
        <v>156</v>
      </c>
      <c r="G27" s="2" t="s">
        <v>157</v>
      </c>
      <c r="H27" s="2" t="s">
        <v>25</v>
      </c>
      <c r="I27" s="2" t="s">
        <v>26</v>
      </c>
      <c r="J27" s="2" t="s">
        <v>40</v>
      </c>
      <c r="K27" s="3">
        <v>45595</v>
      </c>
      <c r="L27" s="2">
        <v>9</v>
      </c>
      <c r="M27" s="2">
        <v>11</v>
      </c>
      <c r="N27" s="2">
        <v>200</v>
      </c>
      <c r="O27" s="2">
        <v>1</v>
      </c>
      <c r="P27" s="1"/>
      <c r="Q27" s="2">
        <v>136741.32999999999</v>
      </c>
      <c r="R27" s="2">
        <v>0</v>
      </c>
      <c r="S27" s="3">
        <v>46083</v>
      </c>
      <c r="T27" s="5">
        <v>154480</v>
      </c>
      <c r="U27" s="2" t="s">
        <v>158</v>
      </c>
    </row>
    <row r="28" spans="1:21" x14ac:dyDescent="0.2">
      <c r="A28" s="24">
        <v>27</v>
      </c>
      <c r="B28" s="2" t="s">
        <v>159</v>
      </c>
      <c r="C28" s="2" t="s">
        <v>132</v>
      </c>
      <c r="D28" s="2" t="s">
        <v>141</v>
      </c>
      <c r="E28" s="2" t="s">
        <v>141</v>
      </c>
      <c r="F28" s="2" t="s">
        <v>142</v>
      </c>
      <c r="G28" s="2" t="s">
        <v>160</v>
      </c>
      <c r="H28" s="2" t="s">
        <v>25</v>
      </c>
      <c r="I28" s="2" t="s">
        <v>26</v>
      </c>
      <c r="J28" s="2" t="s">
        <v>40</v>
      </c>
      <c r="K28" s="3">
        <v>45705</v>
      </c>
      <c r="L28" s="2">
        <v>9</v>
      </c>
      <c r="M28" s="2">
        <v>11</v>
      </c>
      <c r="N28" s="2">
        <v>120</v>
      </c>
      <c r="O28" s="2">
        <v>1</v>
      </c>
      <c r="P28" s="1"/>
      <c r="Q28" s="2" t="s">
        <v>161</v>
      </c>
      <c r="R28" s="2">
        <v>0</v>
      </c>
      <c r="S28" s="3">
        <v>46093</v>
      </c>
      <c r="T28" s="5">
        <v>46787</v>
      </c>
      <c r="U28" s="2" t="s">
        <v>162</v>
      </c>
    </row>
    <row r="29" spans="1:21" ht="30" x14ac:dyDescent="0.2">
      <c r="A29" s="24">
        <v>28</v>
      </c>
      <c r="B29" s="2" t="s">
        <v>163</v>
      </c>
      <c r="C29" s="2" t="s">
        <v>164</v>
      </c>
      <c r="D29" s="2" t="s">
        <v>141</v>
      </c>
      <c r="E29" s="2" t="s">
        <v>141</v>
      </c>
      <c r="F29" s="2" t="s">
        <v>141</v>
      </c>
      <c r="G29" s="2" t="s">
        <v>165</v>
      </c>
      <c r="H29" s="2" t="s">
        <v>25</v>
      </c>
      <c r="I29" s="1"/>
      <c r="J29" s="2" t="s">
        <v>73</v>
      </c>
      <c r="K29" s="3">
        <v>45849</v>
      </c>
      <c r="L29" s="2">
        <v>9</v>
      </c>
      <c r="M29" s="2">
        <v>33</v>
      </c>
      <c r="N29" s="2">
        <v>3840</v>
      </c>
      <c r="O29" s="2">
        <v>1</v>
      </c>
      <c r="P29" s="1"/>
      <c r="Q29" s="2">
        <v>0</v>
      </c>
      <c r="R29" s="2">
        <v>0</v>
      </c>
      <c r="S29" s="3">
        <v>46094</v>
      </c>
      <c r="T29" s="5">
        <v>5714429</v>
      </c>
      <c r="U29" s="2" t="s">
        <v>166</v>
      </c>
    </row>
    <row r="30" spans="1:21" x14ac:dyDescent="0.2">
      <c r="A30" s="24">
        <v>29</v>
      </c>
      <c r="B30" s="2" t="s">
        <v>167</v>
      </c>
      <c r="C30" s="2" t="s">
        <v>168</v>
      </c>
      <c r="D30" s="2" t="s">
        <v>141</v>
      </c>
      <c r="E30" s="2" t="s">
        <v>141</v>
      </c>
      <c r="F30" s="2" t="s">
        <v>142</v>
      </c>
      <c r="G30" s="2" t="s">
        <v>160</v>
      </c>
      <c r="H30" s="2" t="s">
        <v>25</v>
      </c>
      <c r="I30" s="2" t="s">
        <v>26</v>
      </c>
      <c r="J30" s="2" t="s">
        <v>73</v>
      </c>
      <c r="K30" s="3">
        <v>45903</v>
      </c>
      <c r="L30" s="2">
        <v>9</v>
      </c>
      <c r="M30" s="2">
        <v>11</v>
      </c>
      <c r="N30" s="2">
        <v>480</v>
      </c>
      <c r="O30" s="2">
        <v>1</v>
      </c>
      <c r="P30" s="1"/>
      <c r="Q30" s="2">
        <v>0</v>
      </c>
      <c r="R30" s="2">
        <v>0</v>
      </c>
      <c r="S30" s="3">
        <v>46098</v>
      </c>
      <c r="T30" s="5">
        <v>136948</v>
      </c>
      <c r="U30" s="2" t="s">
        <v>169</v>
      </c>
    </row>
    <row r="31" spans="1:21" x14ac:dyDescent="0.2">
      <c r="A31" s="24">
        <v>30</v>
      </c>
      <c r="B31" s="2" t="s">
        <v>170</v>
      </c>
      <c r="C31" s="2" t="s">
        <v>171</v>
      </c>
      <c r="D31" s="2" t="s">
        <v>141</v>
      </c>
      <c r="E31" s="2" t="s">
        <v>156</v>
      </c>
      <c r="F31" s="2" t="s">
        <v>156</v>
      </c>
      <c r="G31" s="2" t="s">
        <v>157</v>
      </c>
      <c r="H31" s="2" t="s">
        <v>25</v>
      </c>
      <c r="I31" s="2" t="s">
        <v>26</v>
      </c>
      <c r="J31" s="2" t="s">
        <v>73</v>
      </c>
      <c r="K31" s="3">
        <v>45985</v>
      </c>
      <c r="L31" s="2">
        <v>9</v>
      </c>
      <c r="M31" s="2">
        <v>11</v>
      </c>
      <c r="N31" s="2">
        <v>300</v>
      </c>
      <c r="O31" s="2">
        <v>1</v>
      </c>
      <c r="P31" s="1"/>
      <c r="Q31" s="2">
        <v>0</v>
      </c>
      <c r="R31" s="2">
        <v>0</v>
      </c>
      <c r="S31" s="3">
        <v>46072</v>
      </c>
      <c r="T31" s="5">
        <v>202612</v>
      </c>
      <c r="U31" s="2" t="s">
        <v>172</v>
      </c>
    </row>
    <row r="32" spans="1:21" x14ac:dyDescent="0.2">
      <c r="A32" s="24">
        <v>31</v>
      </c>
      <c r="B32" s="2" t="s">
        <v>173</v>
      </c>
      <c r="C32" s="2" t="s">
        <v>174</v>
      </c>
      <c r="D32" s="2" t="s">
        <v>141</v>
      </c>
      <c r="E32" s="2" t="s">
        <v>141</v>
      </c>
      <c r="F32" s="2" t="s">
        <v>147</v>
      </c>
      <c r="G32" s="2" t="s">
        <v>148</v>
      </c>
      <c r="H32" s="2" t="s">
        <v>25</v>
      </c>
      <c r="I32" s="2" t="s">
        <v>26</v>
      </c>
      <c r="J32" s="2" t="s">
        <v>73</v>
      </c>
      <c r="K32" s="3">
        <v>45976</v>
      </c>
      <c r="L32" s="2">
        <v>9</v>
      </c>
      <c r="M32" s="2">
        <v>11</v>
      </c>
      <c r="N32" s="2">
        <v>240</v>
      </c>
      <c r="O32" s="2">
        <v>1</v>
      </c>
      <c r="P32" s="1"/>
      <c r="Q32" s="2" t="s">
        <v>175</v>
      </c>
      <c r="R32" s="2">
        <v>0</v>
      </c>
      <c r="S32" s="3">
        <v>46095</v>
      </c>
      <c r="T32" s="5">
        <v>51327</v>
      </c>
      <c r="U32" s="2" t="s">
        <v>176</v>
      </c>
    </row>
    <row r="33" spans="1:21" x14ac:dyDescent="0.2">
      <c r="A33" s="24">
        <v>32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181</v>
      </c>
      <c r="G33" s="2" t="s">
        <v>182</v>
      </c>
      <c r="H33" s="2" t="s">
        <v>25</v>
      </c>
      <c r="I33" s="2" t="s">
        <v>26</v>
      </c>
      <c r="J33" s="2" t="s">
        <v>90</v>
      </c>
      <c r="K33" s="3">
        <v>45477</v>
      </c>
      <c r="L33" s="2">
        <v>9</v>
      </c>
      <c r="M33" s="2">
        <v>11</v>
      </c>
      <c r="N33" s="2">
        <v>800</v>
      </c>
      <c r="O33" s="2">
        <v>1</v>
      </c>
      <c r="P33" s="1"/>
      <c r="Q33" s="2">
        <v>0</v>
      </c>
      <c r="R33" s="2">
        <v>0</v>
      </c>
      <c r="S33" s="3">
        <v>46088</v>
      </c>
      <c r="T33" s="5">
        <v>421288</v>
      </c>
      <c r="U33" s="2" t="s">
        <v>183</v>
      </c>
    </row>
    <row r="34" spans="1:21" ht="45" x14ac:dyDescent="0.2">
      <c r="A34" s="24">
        <v>33</v>
      </c>
      <c r="B34" s="2" t="s">
        <v>184</v>
      </c>
      <c r="C34" s="2" t="s">
        <v>185</v>
      </c>
      <c r="D34" s="2" t="s">
        <v>179</v>
      </c>
      <c r="E34" s="2" t="s">
        <v>179</v>
      </c>
      <c r="F34" s="2" t="s">
        <v>186</v>
      </c>
      <c r="G34" s="2" t="s">
        <v>187</v>
      </c>
      <c r="H34" s="2" t="s">
        <v>25</v>
      </c>
      <c r="I34" s="2" t="s">
        <v>26</v>
      </c>
      <c r="J34" s="2" t="s">
        <v>40</v>
      </c>
      <c r="K34" s="3">
        <v>45541</v>
      </c>
      <c r="L34" s="2">
        <v>9</v>
      </c>
      <c r="M34" s="2">
        <v>11</v>
      </c>
      <c r="N34" s="2">
        <v>480</v>
      </c>
      <c r="O34" s="2">
        <v>3</v>
      </c>
      <c r="P34" s="4">
        <v>46023</v>
      </c>
      <c r="Q34" s="2">
        <v>935019.6</v>
      </c>
      <c r="R34" s="2">
        <v>0</v>
      </c>
      <c r="S34" s="3">
        <v>45994</v>
      </c>
      <c r="T34" s="5">
        <v>50000</v>
      </c>
      <c r="U34" s="2" t="s">
        <v>188</v>
      </c>
    </row>
    <row r="35" spans="1:21" ht="45" x14ac:dyDescent="0.2">
      <c r="A35" s="24">
        <v>34</v>
      </c>
      <c r="B35" s="2" t="s">
        <v>189</v>
      </c>
      <c r="C35" s="2" t="s">
        <v>137</v>
      </c>
      <c r="D35" s="2" t="s">
        <v>179</v>
      </c>
      <c r="E35" s="2" t="s">
        <v>179</v>
      </c>
      <c r="F35" s="2" t="s">
        <v>186</v>
      </c>
      <c r="G35" s="2" t="s">
        <v>186</v>
      </c>
      <c r="H35" s="2" t="s">
        <v>25</v>
      </c>
      <c r="I35" s="2" t="s">
        <v>26</v>
      </c>
      <c r="J35" s="2" t="s">
        <v>40</v>
      </c>
      <c r="K35" s="3">
        <v>45657</v>
      </c>
      <c r="L35" s="2">
        <v>9</v>
      </c>
      <c r="M35" s="2">
        <v>11</v>
      </c>
      <c r="N35" s="2">
        <v>428</v>
      </c>
      <c r="O35" s="2">
        <v>1</v>
      </c>
      <c r="P35" s="1"/>
      <c r="Q35" s="2" t="s">
        <v>190</v>
      </c>
      <c r="R35" s="2">
        <v>0</v>
      </c>
      <c r="S35" s="3">
        <v>46098</v>
      </c>
      <c r="T35" s="5">
        <v>288387</v>
      </c>
      <c r="U35" s="2" t="s">
        <v>191</v>
      </c>
    </row>
    <row r="36" spans="1:21" x14ac:dyDescent="0.2">
      <c r="A36" s="24">
        <v>35</v>
      </c>
      <c r="B36" s="2" t="s">
        <v>192</v>
      </c>
      <c r="C36" s="2" t="s">
        <v>193</v>
      </c>
      <c r="D36" s="2" t="s">
        <v>179</v>
      </c>
      <c r="E36" s="2" t="s">
        <v>179</v>
      </c>
      <c r="F36" s="2" t="s">
        <v>186</v>
      </c>
      <c r="G36" s="2" t="s">
        <v>187</v>
      </c>
      <c r="H36" s="2" t="s">
        <v>25</v>
      </c>
      <c r="I36" s="2" t="s">
        <v>26</v>
      </c>
      <c r="J36" s="2" t="s">
        <v>27</v>
      </c>
      <c r="K36" s="3">
        <v>45773</v>
      </c>
      <c r="L36" s="2">
        <v>9</v>
      </c>
      <c r="M36" s="2">
        <v>11</v>
      </c>
      <c r="N36" s="2">
        <v>480</v>
      </c>
      <c r="O36" s="2">
        <v>1</v>
      </c>
      <c r="P36" s="1"/>
      <c r="Q36" s="2">
        <v>0</v>
      </c>
      <c r="R36" s="2">
        <v>0</v>
      </c>
      <c r="S36" s="3">
        <v>46085</v>
      </c>
      <c r="T36" s="5">
        <v>556559</v>
      </c>
      <c r="U36" s="2" t="s">
        <v>194</v>
      </c>
    </row>
    <row r="37" spans="1:21" ht="30" x14ac:dyDescent="0.2">
      <c r="A37" s="24">
        <v>36</v>
      </c>
      <c r="B37" s="2" t="s">
        <v>195</v>
      </c>
      <c r="C37" s="2" t="s">
        <v>137</v>
      </c>
      <c r="D37" s="2" t="s">
        <v>179</v>
      </c>
      <c r="E37" s="2" t="s">
        <v>179</v>
      </c>
      <c r="F37" s="2" t="s">
        <v>179</v>
      </c>
      <c r="G37" s="2" t="s">
        <v>196</v>
      </c>
      <c r="H37" s="2" t="s">
        <v>25</v>
      </c>
      <c r="I37" s="2" t="s">
        <v>26</v>
      </c>
      <c r="J37" s="2" t="s">
        <v>73</v>
      </c>
      <c r="K37" s="3">
        <v>45860</v>
      </c>
      <c r="L37" s="2">
        <v>9</v>
      </c>
      <c r="M37" s="2">
        <v>11</v>
      </c>
      <c r="N37" s="2">
        <v>120</v>
      </c>
      <c r="O37" s="2">
        <v>3</v>
      </c>
      <c r="P37" s="4">
        <v>45931</v>
      </c>
      <c r="Q37" s="2">
        <v>170593</v>
      </c>
      <c r="R37" s="2">
        <v>0</v>
      </c>
      <c r="S37" s="1"/>
      <c r="T37" s="6"/>
      <c r="U37" s="2" t="s">
        <v>197</v>
      </c>
    </row>
    <row r="38" spans="1:21" x14ac:dyDescent="0.2">
      <c r="A38" s="24">
        <v>37</v>
      </c>
      <c r="B38" s="2" t="s">
        <v>198</v>
      </c>
      <c r="C38" s="2" t="s">
        <v>199</v>
      </c>
      <c r="D38" s="2" t="s">
        <v>179</v>
      </c>
      <c r="E38" s="2" t="s">
        <v>179</v>
      </c>
      <c r="F38" s="2" t="s">
        <v>186</v>
      </c>
      <c r="G38" s="2" t="s">
        <v>186</v>
      </c>
      <c r="H38" s="2" t="s">
        <v>25</v>
      </c>
      <c r="I38" s="2" t="s">
        <v>26</v>
      </c>
      <c r="J38" s="2" t="s">
        <v>73</v>
      </c>
      <c r="K38" s="3">
        <v>45930</v>
      </c>
      <c r="L38" s="2">
        <v>9</v>
      </c>
      <c r="M38" s="2">
        <v>11</v>
      </c>
      <c r="N38" s="2">
        <v>240</v>
      </c>
      <c r="O38" s="2">
        <v>1</v>
      </c>
      <c r="P38" s="1"/>
      <c r="Q38" s="2">
        <v>0</v>
      </c>
      <c r="R38" s="2">
        <v>0</v>
      </c>
      <c r="S38" s="3">
        <v>46095</v>
      </c>
      <c r="T38" s="5">
        <v>218857</v>
      </c>
      <c r="U38" s="2" t="s">
        <v>200</v>
      </c>
    </row>
    <row r="39" spans="1:21" x14ac:dyDescent="0.2">
      <c r="A39" s="24">
        <v>38</v>
      </c>
      <c r="B39" s="2" t="s">
        <v>201</v>
      </c>
      <c r="C39" s="2" t="s">
        <v>132</v>
      </c>
      <c r="D39" s="2" t="s">
        <v>202</v>
      </c>
      <c r="E39" s="2" t="s">
        <v>202</v>
      </c>
      <c r="F39" s="2" t="s">
        <v>203</v>
      </c>
      <c r="G39" s="2" t="s">
        <v>204</v>
      </c>
      <c r="H39" s="2" t="s">
        <v>25</v>
      </c>
      <c r="I39" s="2" t="s">
        <v>26</v>
      </c>
      <c r="J39" s="2" t="s">
        <v>73</v>
      </c>
      <c r="K39" s="3">
        <v>45677</v>
      </c>
      <c r="L39" s="2">
        <v>9</v>
      </c>
      <c r="M39" s="2">
        <v>11</v>
      </c>
      <c r="N39" s="2">
        <v>120</v>
      </c>
      <c r="O39" s="2">
        <v>1</v>
      </c>
      <c r="P39" s="1"/>
      <c r="Q39" s="2" t="s">
        <v>205</v>
      </c>
      <c r="R39" s="2">
        <v>0</v>
      </c>
      <c r="S39" s="3">
        <v>46093</v>
      </c>
      <c r="T39" s="5">
        <v>58457</v>
      </c>
      <c r="U39" s="2" t="s">
        <v>206</v>
      </c>
    </row>
    <row r="40" spans="1:21" x14ac:dyDescent="0.2">
      <c r="A40" s="24">
        <v>39</v>
      </c>
      <c r="B40" s="2" t="s">
        <v>207</v>
      </c>
      <c r="C40" s="2" t="s">
        <v>113</v>
      </c>
      <c r="D40" s="2" t="s">
        <v>208</v>
      </c>
      <c r="E40" s="2" t="s">
        <v>208</v>
      </c>
      <c r="F40" s="2" t="s">
        <v>209</v>
      </c>
      <c r="G40" s="2" t="s">
        <v>210</v>
      </c>
      <c r="H40" s="2" t="s">
        <v>63</v>
      </c>
      <c r="I40" s="2" t="s">
        <v>103</v>
      </c>
      <c r="J40" s="2" t="s">
        <v>211</v>
      </c>
      <c r="K40" s="3">
        <v>43525</v>
      </c>
      <c r="L40" s="2">
        <v>9</v>
      </c>
      <c r="M40" s="2">
        <v>11</v>
      </c>
      <c r="N40" s="2">
        <v>3000</v>
      </c>
      <c r="O40" s="2">
        <v>1</v>
      </c>
      <c r="P40" s="1"/>
      <c r="Q40" s="2" t="s">
        <v>212</v>
      </c>
      <c r="R40" s="2">
        <v>0</v>
      </c>
      <c r="S40" s="3">
        <v>46094</v>
      </c>
      <c r="T40" s="5">
        <v>3713359</v>
      </c>
      <c r="U40" s="2" t="s">
        <v>213</v>
      </c>
    </row>
    <row r="41" spans="1:21" ht="30" x14ac:dyDescent="0.2">
      <c r="A41" s="24">
        <v>40</v>
      </c>
      <c r="B41" s="2" t="s">
        <v>214</v>
      </c>
      <c r="C41" s="2" t="s">
        <v>94</v>
      </c>
      <c r="D41" s="2" t="s">
        <v>208</v>
      </c>
      <c r="E41" s="2" t="s">
        <v>215</v>
      </c>
      <c r="F41" s="2" t="s">
        <v>216</v>
      </c>
      <c r="G41" s="2" t="s">
        <v>217</v>
      </c>
      <c r="H41" s="2" t="s">
        <v>25</v>
      </c>
      <c r="I41" s="2" t="s">
        <v>26</v>
      </c>
      <c r="J41" s="2" t="s">
        <v>40</v>
      </c>
      <c r="K41" s="3">
        <v>45726</v>
      </c>
      <c r="L41" s="2">
        <v>9</v>
      </c>
      <c r="M41" s="2">
        <v>11</v>
      </c>
      <c r="N41" s="2">
        <v>270</v>
      </c>
      <c r="O41" s="2">
        <v>1</v>
      </c>
      <c r="P41" s="1"/>
      <c r="Q41" s="2" t="s">
        <v>218</v>
      </c>
      <c r="R41" s="2">
        <v>0</v>
      </c>
      <c r="S41" s="3">
        <v>46101</v>
      </c>
      <c r="T41" s="5">
        <v>169096</v>
      </c>
      <c r="U41" s="2" t="s">
        <v>219</v>
      </c>
    </row>
    <row r="42" spans="1:21" x14ac:dyDescent="0.2">
      <c r="A42" s="24">
        <v>41</v>
      </c>
      <c r="B42" s="2" t="s">
        <v>220</v>
      </c>
      <c r="C42" s="2" t="s">
        <v>221</v>
      </c>
      <c r="D42" s="2" t="s">
        <v>208</v>
      </c>
      <c r="E42" s="2" t="s">
        <v>208</v>
      </c>
      <c r="F42" s="2" t="s">
        <v>209</v>
      </c>
      <c r="G42" s="2" t="s">
        <v>210</v>
      </c>
      <c r="H42" s="2" t="s">
        <v>63</v>
      </c>
      <c r="I42" s="2" t="s">
        <v>103</v>
      </c>
      <c r="J42" s="2" t="s">
        <v>73</v>
      </c>
      <c r="K42" s="3">
        <v>45852</v>
      </c>
      <c r="L42" s="2">
        <v>9</v>
      </c>
      <c r="M42" s="2">
        <v>33</v>
      </c>
      <c r="N42" s="2">
        <v>5000</v>
      </c>
      <c r="O42" s="2">
        <v>1</v>
      </c>
      <c r="P42" s="1"/>
      <c r="Q42" s="2">
        <v>3709881</v>
      </c>
      <c r="R42" s="2">
        <v>0</v>
      </c>
      <c r="S42" s="3">
        <v>46094</v>
      </c>
      <c r="T42" s="5">
        <v>6714093</v>
      </c>
      <c r="U42" s="2" t="s">
        <v>222</v>
      </c>
    </row>
    <row r="43" spans="1:21" x14ac:dyDescent="0.2">
      <c r="A43" s="24">
        <v>42</v>
      </c>
      <c r="B43" s="2" t="s">
        <v>223</v>
      </c>
      <c r="C43" s="2" t="s">
        <v>224</v>
      </c>
      <c r="D43" s="2" t="s">
        <v>208</v>
      </c>
      <c r="E43" s="2" t="s">
        <v>215</v>
      </c>
      <c r="F43" s="2" t="s">
        <v>216</v>
      </c>
      <c r="G43" s="2" t="s">
        <v>215</v>
      </c>
      <c r="H43" s="2" t="s">
        <v>63</v>
      </c>
      <c r="I43" s="2" t="s">
        <v>103</v>
      </c>
      <c r="J43" s="2" t="s">
        <v>73</v>
      </c>
      <c r="K43" s="3">
        <v>46000</v>
      </c>
      <c r="L43" s="2">
        <v>9</v>
      </c>
      <c r="M43" s="2">
        <v>33</v>
      </c>
      <c r="N43" s="2">
        <v>6000</v>
      </c>
      <c r="O43" s="2">
        <v>1</v>
      </c>
      <c r="P43" s="1"/>
      <c r="Q43" s="2">
        <v>2791759</v>
      </c>
      <c r="R43" s="2">
        <v>0</v>
      </c>
      <c r="S43" s="3">
        <v>46099</v>
      </c>
      <c r="T43" s="5">
        <v>2187734</v>
      </c>
      <c r="U43" s="2" t="s">
        <v>225</v>
      </c>
    </row>
    <row r="44" spans="1:21" x14ac:dyDescent="0.2">
      <c r="A44" s="24">
        <v>43</v>
      </c>
      <c r="B44" s="2" t="s">
        <v>226</v>
      </c>
      <c r="C44" s="2" t="s">
        <v>51</v>
      </c>
      <c r="D44" s="2" t="s">
        <v>227</v>
      </c>
      <c r="E44" s="2" t="s">
        <v>227</v>
      </c>
      <c r="F44" s="2" t="s">
        <v>227</v>
      </c>
      <c r="G44" s="2" t="s">
        <v>228</v>
      </c>
      <c r="H44" s="2" t="s">
        <v>25</v>
      </c>
      <c r="I44" s="2" t="s">
        <v>26</v>
      </c>
      <c r="J44" s="2" t="s">
        <v>40</v>
      </c>
      <c r="K44" s="3">
        <v>45462</v>
      </c>
      <c r="L44" s="2">
        <v>9</v>
      </c>
      <c r="M44" s="2">
        <v>11</v>
      </c>
      <c r="N44" s="2">
        <v>275</v>
      </c>
      <c r="O44" s="2">
        <v>1</v>
      </c>
      <c r="P44" s="1"/>
      <c r="Q44" s="2" t="s">
        <v>229</v>
      </c>
      <c r="R44" s="2">
        <v>0</v>
      </c>
      <c r="S44" s="3">
        <v>46094</v>
      </c>
      <c r="T44" s="5">
        <v>89665</v>
      </c>
      <c r="U44" s="2" t="s">
        <v>230</v>
      </c>
    </row>
    <row r="45" spans="1:21" ht="30" x14ac:dyDescent="0.2">
      <c r="A45" s="24">
        <v>44</v>
      </c>
      <c r="B45" s="2" t="s">
        <v>231</v>
      </c>
      <c r="C45" s="2" t="s">
        <v>232</v>
      </c>
      <c r="D45" s="2" t="s">
        <v>227</v>
      </c>
      <c r="E45" s="2" t="s">
        <v>233</v>
      </c>
      <c r="F45" s="2" t="s">
        <v>234</v>
      </c>
      <c r="G45" s="2" t="s">
        <v>235</v>
      </c>
      <c r="H45" s="2" t="s">
        <v>63</v>
      </c>
      <c r="I45" s="2" t="s">
        <v>103</v>
      </c>
      <c r="J45" s="1"/>
      <c r="K45" s="3">
        <v>45507</v>
      </c>
      <c r="L45" s="2">
        <v>9</v>
      </c>
      <c r="M45" s="2">
        <v>11</v>
      </c>
      <c r="N45" s="2">
        <v>2000</v>
      </c>
      <c r="O45" s="2">
        <v>1</v>
      </c>
      <c r="P45" s="1"/>
      <c r="Q45" s="2" t="s">
        <v>236</v>
      </c>
      <c r="R45" s="2">
        <v>0</v>
      </c>
      <c r="S45" s="3">
        <v>46098</v>
      </c>
      <c r="T45" s="5">
        <v>1222549</v>
      </c>
      <c r="U45" s="2" t="s">
        <v>237</v>
      </c>
    </row>
    <row r="46" spans="1:21" ht="30" x14ac:dyDescent="0.2">
      <c r="A46" s="24">
        <v>45</v>
      </c>
      <c r="B46" s="2" t="s">
        <v>238</v>
      </c>
      <c r="C46" s="2" t="s">
        <v>137</v>
      </c>
      <c r="D46" s="2" t="s">
        <v>227</v>
      </c>
      <c r="E46" s="2" t="s">
        <v>227</v>
      </c>
      <c r="F46" s="2" t="s">
        <v>239</v>
      </c>
      <c r="G46" s="2" t="s">
        <v>240</v>
      </c>
      <c r="H46" s="2" t="s">
        <v>25</v>
      </c>
      <c r="I46" s="2" t="s">
        <v>26</v>
      </c>
      <c r="J46" s="2" t="s">
        <v>73</v>
      </c>
      <c r="K46" s="3">
        <v>45909</v>
      </c>
      <c r="L46" s="2">
        <v>9</v>
      </c>
      <c r="M46" s="2">
        <v>11</v>
      </c>
      <c r="N46" s="2">
        <v>180</v>
      </c>
      <c r="O46" s="2">
        <v>1</v>
      </c>
      <c r="P46" s="1"/>
      <c r="Q46" s="2">
        <v>0</v>
      </c>
      <c r="R46" s="2">
        <v>0</v>
      </c>
      <c r="S46" s="3">
        <v>46092</v>
      </c>
      <c r="T46" s="5">
        <v>38775</v>
      </c>
      <c r="U46" s="2" t="s">
        <v>241</v>
      </c>
    </row>
    <row r="47" spans="1:21" ht="45" x14ac:dyDescent="0.2">
      <c r="A47" s="24">
        <v>46</v>
      </c>
      <c r="B47" s="2" t="s">
        <v>242</v>
      </c>
      <c r="C47" s="2" t="s">
        <v>243</v>
      </c>
      <c r="D47" s="2" t="s">
        <v>244</v>
      </c>
      <c r="E47" s="2" t="s">
        <v>244</v>
      </c>
      <c r="F47" s="2" t="s">
        <v>245</v>
      </c>
      <c r="G47" s="2" t="s">
        <v>246</v>
      </c>
      <c r="H47" s="2" t="s">
        <v>25</v>
      </c>
      <c r="I47" s="2" t="s">
        <v>26</v>
      </c>
      <c r="J47" s="2" t="s">
        <v>90</v>
      </c>
      <c r="K47" s="3">
        <v>44882</v>
      </c>
      <c r="L47" s="2">
        <v>9</v>
      </c>
      <c r="M47" s="2">
        <v>11</v>
      </c>
      <c r="N47" s="2">
        <v>400</v>
      </c>
      <c r="O47" s="2">
        <v>1</v>
      </c>
      <c r="P47" s="1"/>
      <c r="Q47" s="2" t="s">
        <v>247</v>
      </c>
      <c r="R47" s="2">
        <v>0</v>
      </c>
      <c r="S47" s="3">
        <v>46099</v>
      </c>
      <c r="T47" s="5">
        <v>510200</v>
      </c>
      <c r="U47" s="2" t="s">
        <v>248</v>
      </c>
    </row>
    <row r="48" spans="1:21" ht="30" x14ac:dyDescent="0.2">
      <c r="A48" s="24">
        <v>47</v>
      </c>
      <c r="B48" s="2" t="s">
        <v>249</v>
      </c>
      <c r="C48" s="2" t="s">
        <v>250</v>
      </c>
      <c r="D48" s="2" t="s">
        <v>244</v>
      </c>
      <c r="E48" s="2" t="s">
        <v>244</v>
      </c>
      <c r="F48" s="2" t="s">
        <v>244</v>
      </c>
      <c r="G48" s="2" t="s">
        <v>251</v>
      </c>
      <c r="H48" s="2" t="s">
        <v>25</v>
      </c>
      <c r="I48" s="2" t="s">
        <v>26</v>
      </c>
      <c r="J48" s="2" t="s">
        <v>36</v>
      </c>
      <c r="K48" s="3">
        <v>45030</v>
      </c>
      <c r="L48" s="2">
        <v>9</v>
      </c>
      <c r="M48" s="2">
        <v>11</v>
      </c>
      <c r="N48" s="2">
        <v>250</v>
      </c>
      <c r="O48" s="2">
        <v>1</v>
      </c>
      <c r="P48" s="1"/>
      <c r="Q48" s="2">
        <v>646776.01</v>
      </c>
      <c r="R48" s="2">
        <v>0</v>
      </c>
      <c r="S48" s="3">
        <v>46083</v>
      </c>
      <c r="T48" s="5">
        <v>646948</v>
      </c>
      <c r="U48" s="2" t="s">
        <v>252</v>
      </c>
    </row>
    <row r="49" spans="1:21" ht="30" x14ac:dyDescent="0.2">
      <c r="A49" s="24">
        <v>48</v>
      </c>
      <c r="B49" s="2" t="s">
        <v>253</v>
      </c>
      <c r="C49" s="2" t="s">
        <v>254</v>
      </c>
      <c r="D49" s="2" t="s">
        <v>244</v>
      </c>
      <c r="E49" s="2" t="s">
        <v>244</v>
      </c>
      <c r="F49" s="2" t="s">
        <v>244</v>
      </c>
      <c r="G49" s="2" t="s">
        <v>255</v>
      </c>
      <c r="H49" s="2" t="s">
        <v>63</v>
      </c>
      <c r="I49" s="2" t="s">
        <v>103</v>
      </c>
      <c r="J49" s="1"/>
      <c r="K49" s="3">
        <v>45205</v>
      </c>
      <c r="L49" s="2">
        <v>9</v>
      </c>
      <c r="M49" s="2">
        <v>11</v>
      </c>
      <c r="N49" s="2">
        <v>1000</v>
      </c>
      <c r="O49" s="2">
        <v>1</v>
      </c>
      <c r="P49" s="1"/>
      <c r="Q49" s="2" t="s">
        <v>256</v>
      </c>
      <c r="R49" s="2">
        <v>0</v>
      </c>
      <c r="S49" s="3">
        <v>46073</v>
      </c>
      <c r="T49" s="5">
        <v>340028</v>
      </c>
      <c r="U49" s="2" t="s">
        <v>257</v>
      </c>
    </row>
    <row r="50" spans="1:21" ht="30" x14ac:dyDescent="0.2">
      <c r="A50" s="24">
        <v>49</v>
      </c>
      <c r="B50" s="2" t="s">
        <v>258</v>
      </c>
      <c r="C50" s="2" t="s">
        <v>259</v>
      </c>
      <c r="D50" s="2" t="s">
        <v>244</v>
      </c>
      <c r="E50" s="2" t="s">
        <v>260</v>
      </c>
      <c r="F50" s="2" t="s">
        <v>261</v>
      </c>
      <c r="G50" s="2" t="s">
        <v>261</v>
      </c>
      <c r="H50" s="2" t="s">
        <v>25</v>
      </c>
      <c r="I50" s="2" t="s">
        <v>26</v>
      </c>
      <c r="J50" s="2" t="s">
        <v>36</v>
      </c>
      <c r="K50" s="3">
        <v>45294</v>
      </c>
      <c r="L50" s="2">
        <v>9</v>
      </c>
      <c r="M50" s="2">
        <v>11</v>
      </c>
      <c r="N50" s="2">
        <v>210</v>
      </c>
      <c r="O50" s="2">
        <v>1</v>
      </c>
      <c r="P50" s="1"/>
      <c r="Q50" s="2">
        <v>0</v>
      </c>
      <c r="R50" s="2">
        <v>0</v>
      </c>
      <c r="S50" s="3">
        <v>46097</v>
      </c>
      <c r="T50" s="5">
        <v>75668</v>
      </c>
      <c r="U50" s="2" t="s">
        <v>262</v>
      </c>
    </row>
    <row r="51" spans="1:21" ht="30" x14ac:dyDescent="0.2">
      <c r="A51" s="24">
        <v>50</v>
      </c>
      <c r="B51" s="2" t="s">
        <v>263</v>
      </c>
      <c r="C51" s="2" t="s">
        <v>264</v>
      </c>
      <c r="D51" s="2" t="s">
        <v>244</v>
      </c>
      <c r="E51" s="2" t="s">
        <v>244</v>
      </c>
      <c r="F51" s="2" t="s">
        <v>244</v>
      </c>
      <c r="G51" s="2" t="s">
        <v>251</v>
      </c>
      <c r="H51" s="2" t="s">
        <v>25</v>
      </c>
      <c r="I51" s="2" t="s">
        <v>26</v>
      </c>
      <c r="J51" s="2" t="s">
        <v>36</v>
      </c>
      <c r="K51" s="3">
        <v>45412</v>
      </c>
      <c r="L51" s="2">
        <v>9</v>
      </c>
      <c r="M51" s="2">
        <v>11</v>
      </c>
      <c r="N51" s="2">
        <v>425</v>
      </c>
      <c r="O51" s="2">
        <v>1</v>
      </c>
      <c r="P51" s="1"/>
      <c r="Q51" s="2" t="s">
        <v>265</v>
      </c>
      <c r="R51" s="2">
        <v>0</v>
      </c>
      <c r="S51" s="3">
        <v>46094</v>
      </c>
      <c r="T51" s="5">
        <v>552593</v>
      </c>
      <c r="U51" s="2" t="s">
        <v>266</v>
      </c>
    </row>
    <row r="52" spans="1:21" x14ac:dyDescent="0.2">
      <c r="A52" s="24">
        <v>51</v>
      </c>
      <c r="B52" s="2" t="s">
        <v>267</v>
      </c>
      <c r="C52" s="2" t="s">
        <v>268</v>
      </c>
      <c r="D52" s="2" t="s">
        <v>244</v>
      </c>
      <c r="E52" s="2" t="s">
        <v>244</v>
      </c>
      <c r="F52" s="2" t="s">
        <v>244</v>
      </c>
      <c r="G52" s="2" t="s">
        <v>255</v>
      </c>
      <c r="H52" s="2" t="s">
        <v>25</v>
      </c>
      <c r="I52" s="2" t="s">
        <v>26</v>
      </c>
      <c r="J52" s="2" t="s">
        <v>27</v>
      </c>
      <c r="K52" s="3">
        <v>45675</v>
      </c>
      <c r="L52" s="2">
        <v>9</v>
      </c>
      <c r="M52" s="2">
        <v>11</v>
      </c>
      <c r="N52" s="2">
        <v>120</v>
      </c>
      <c r="O52" s="2">
        <v>1</v>
      </c>
      <c r="P52" s="1"/>
      <c r="Q52" s="2" t="s">
        <v>269</v>
      </c>
      <c r="R52" s="2">
        <v>0</v>
      </c>
      <c r="S52" s="3">
        <v>46096</v>
      </c>
      <c r="T52" s="5">
        <v>63786</v>
      </c>
      <c r="U52" s="2" t="s">
        <v>270</v>
      </c>
    </row>
    <row r="53" spans="1:21" ht="30" x14ac:dyDescent="0.2">
      <c r="A53" s="24">
        <v>52</v>
      </c>
      <c r="B53" s="2" t="s">
        <v>271</v>
      </c>
      <c r="C53" s="2" t="s">
        <v>254</v>
      </c>
      <c r="D53" s="2" t="s">
        <v>244</v>
      </c>
      <c r="E53" s="2" t="s">
        <v>244</v>
      </c>
      <c r="F53" s="2" t="s">
        <v>244</v>
      </c>
      <c r="G53" s="2" t="s">
        <v>255</v>
      </c>
      <c r="H53" s="2" t="s">
        <v>63</v>
      </c>
      <c r="I53" s="2" t="s">
        <v>103</v>
      </c>
      <c r="J53" s="2" t="s">
        <v>73</v>
      </c>
      <c r="K53" s="3">
        <v>45796</v>
      </c>
      <c r="L53" s="2">
        <v>9</v>
      </c>
      <c r="M53" s="2">
        <v>33</v>
      </c>
      <c r="N53" s="2">
        <v>4000</v>
      </c>
      <c r="O53" s="2">
        <v>1</v>
      </c>
      <c r="P53" s="1"/>
      <c r="Q53" s="2">
        <v>2000.01</v>
      </c>
      <c r="R53" s="2">
        <v>0</v>
      </c>
      <c r="S53" s="3">
        <v>46097</v>
      </c>
      <c r="T53" s="5">
        <v>5784193</v>
      </c>
      <c r="U53" s="2" t="s">
        <v>272</v>
      </c>
    </row>
    <row r="54" spans="1:21" x14ac:dyDescent="0.2">
      <c r="A54" s="24">
        <v>53</v>
      </c>
      <c r="B54" s="2" t="s">
        <v>273</v>
      </c>
      <c r="C54" s="2" t="s">
        <v>94</v>
      </c>
      <c r="D54" s="2" t="s">
        <v>244</v>
      </c>
      <c r="E54" s="2" t="s">
        <v>244</v>
      </c>
      <c r="F54" s="2" t="s">
        <v>245</v>
      </c>
      <c r="G54" s="2" t="s">
        <v>246</v>
      </c>
      <c r="H54" s="2" t="s">
        <v>25</v>
      </c>
      <c r="I54" s="2" t="s">
        <v>26</v>
      </c>
      <c r="J54" s="2" t="s">
        <v>73</v>
      </c>
      <c r="K54" s="3">
        <v>45965</v>
      </c>
      <c r="L54" s="2">
        <v>9</v>
      </c>
      <c r="M54" s="2">
        <v>11</v>
      </c>
      <c r="N54" s="2">
        <v>480</v>
      </c>
      <c r="O54" s="2">
        <v>1</v>
      </c>
      <c r="P54" s="1"/>
      <c r="Q54" s="2">
        <v>12555</v>
      </c>
      <c r="R54" s="2">
        <v>0</v>
      </c>
      <c r="S54" s="3">
        <v>46079</v>
      </c>
      <c r="T54" s="5">
        <v>383698</v>
      </c>
      <c r="U54" s="2" t="s">
        <v>274</v>
      </c>
    </row>
    <row r="55" spans="1:21" x14ac:dyDescent="0.2">
      <c r="A55" s="24">
        <v>54</v>
      </c>
      <c r="B55" s="2" t="s">
        <v>275</v>
      </c>
      <c r="C55" s="2" t="s">
        <v>276</v>
      </c>
      <c r="D55" s="2" t="s">
        <v>277</v>
      </c>
      <c r="E55" s="2" t="s">
        <v>278</v>
      </c>
      <c r="F55" s="2" t="s">
        <v>278</v>
      </c>
      <c r="G55" s="2" t="s">
        <v>279</v>
      </c>
      <c r="H55" s="2" t="s">
        <v>25</v>
      </c>
      <c r="I55" s="2" t="s">
        <v>26</v>
      </c>
      <c r="J55" s="2" t="s">
        <v>280</v>
      </c>
      <c r="K55" s="3">
        <v>45336</v>
      </c>
      <c r="L55" s="2">
        <v>9</v>
      </c>
      <c r="M55" s="2">
        <v>11</v>
      </c>
      <c r="N55" s="2">
        <v>155</v>
      </c>
      <c r="O55" s="2">
        <v>1</v>
      </c>
      <c r="P55" s="1"/>
      <c r="Q55" s="2" t="s">
        <v>281</v>
      </c>
      <c r="R55" s="2">
        <v>0</v>
      </c>
      <c r="S55" s="3">
        <v>46070</v>
      </c>
      <c r="T55" s="5">
        <v>276148</v>
      </c>
      <c r="U55" s="2" t="s">
        <v>282</v>
      </c>
    </row>
    <row r="56" spans="1:21" ht="30" x14ac:dyDescent="0.2">
      <c r="A56" s="24">
        <v>55</v>
      </c>
      <c r="B56" s="2" t="s">
        <v>283</v>
      </c>
      <c r="C56" s="2" t="s">
        <v>284</v>
      </c>
      <c r="D56" s="2" t="s">
        <v>277</v>
      </c>
      <c r="E56" s="2" t="s">
        <v>277</v>
      </c>
      <c r="F56" s="2" t="s">
        <v>285</v>
      </c>
      <c r="G56" s="2" t="s">
        <v>286</v>
      </c>
      <c r="H56" s="2" t="s">
        <v>25</v>
      </c>
      <c r="I56" s="2" t="s">
        <v>26</v>
      </c>
      <c r="J56" s="2" t="s">
        <v>27</v>
      </c>
      <c r="K56" s="3">
        <v>45669</v>
      </c>
      <c r="L56" s="2">
        <v>9</v>
      </c>
      <c r="M56" s="2">
        <v>33</v>
      </c>
      <c r="N56" s="2">
        <v>6000</v>
      </c>
      <c r="O56" s="2">
        <v>1</v>
      </c>
      <c r="P56" s="1"/>
      <c r="Q56" s="2">
        <v>0</v>
      </c>
      <c r="R56" s="2">
        <v>0</v>
      </c>
      <c r="S56" s="3">
        <v>46099</v>
      </c>
      <c r="T56" s="5">
        <v>3764744</v>
      </c>
      <c r="U56" s="2" t="s">
        <v>287</v>
      </c>
    </row>
    <row r="57" spans="1:21" ht="30" x14ac:dyDescent="0.2">
      <c r="A57" s="24">
        <v>56</v>
      </c>
      <c r="B57" s="2" t="s">
        <v>288</v>
      </c>
      <c r="C57" s="2" t="s">
        <v>289</v>
      </c>
      <c r="D57" s="2" t="s">
        <v>277</v>
      </c>
      <c r="E57" s="2" t="s">
        <v>277</v>
      </c>
      <c r="F57" s="2" t="s">
        <v>285</v>
      </c>
      <c r="G57" s="2" t="s">
        <v>290</v>
      </c>
      <c r="H57" s="2" t="s">
        <v>25</v>
      </c>
      <c r="I57" s="2" t="s">
        <v>26</v>
      </c>
      <c r="J57" s="2" t="s">
        <v>73</v>
      </c>
      <c r="K57" s="3">
        <v>45980</v>
      </c>
      <c r="L57" s="2">
        <v>9</v>
      </c>
      <c r="M57" s="2">
        <v>11</v>
      </c>
      <c r="N57" s="2">
        <v>120</v>
      </c>
      <c r="O57" s="2">
        <v>1</v>
      </c>
      <c r="P57" s="1"/>
      <c r="Q57" s="2">
        <v>0</v>
      </c>
      <c r="R57" s="2">
        <v>0</v>
      </c>
      <c r="S57" s="3">
        <v>46070</v>
      </c>
      <c r="T57" s="5">
        <v>27076</v>
      </c>
      <c r="U57" s="2" t="s">
        <v>291</v>
      </c>
    </row>
    <row r="58" spans="1:21" x14ac:dyDescent="0.2">
      <c r="A58" s="24">
        <v>57</v>
      </c>
      <c r="B58" s="2" t="s">
        <v>292</v>
      </c>
      <c r="C58" s="2" t="s">
        <v>137</v>
      </c>
      <c r="D58" s="2" t="s">
        <v>293</v>
      </c>
      <c r="E58" s="2" t="s">
        <v>293</v>
      </c>
      <c r="F58" s="2" t="s">
        <v>294</v>
      </c>
      <c r="G58" s="2" t="s">
        <v>294</v>
      </c>
      <c r="H58" s="2" t="s">
        <v>25</v>
      </c>
      <c r="I58" s="2" t="s">
        <v>26</v>
      </c>
      <c r="J58" s="2" t="s">
        <v>73</v>
      </c>
      <c r="K58" s="3">
        <v>45952</v>
      </c>
      <c r="L58" s="2">
        <v>9</v>
      </c>
      <c r="M58" s="2">
        <v>11</v>
      </c>
      <c r="N58" s="2">
        <v>180</v>
      </c>
      <c r="O58" s="2">
        <v>1</v>
      </c>
      <c r="P58" s="1"/>
      <c r="Q58" s="2">
        <v>0</v>
      </c>
      <c r="R58" s="2">
        <v>0</v>
      </c>
      <c r="S58" s="3">
        <v>46092</v>
      </c>
      <c r="T58" s="5">
        <v>45528</v>
      </c>
      <c r="U58" s="2" t="s">
        <v>295</v>
      </c>
    </row>
    <row r="59" spans="1:21" x14ac:dyDescent="0.2">
      <c r="A59" s="24">
        <v>58</v>
      </c>
      <c r="B59" s="2" t="s">
        <v>296</v>
      </c>
      <c r="C59" s="2" t="s">
        <v>137</v>
      </c>
      <c r="D59" s="2" t="s">
        <v>297</v>
      </c>
      <c r="E59" s="2" t="s">
        <v>298</v>
      </c>
      <c r="F59" s="2" t="s">
        <v>298</v>
      </c>
      <c r="G59" s="2" t="s">
        <v>298</v>
      </c>
      <c r="H59" s="2" t="s">
        <v>25</v>
      </c>
      <c r="I59" s="2" t="s">
        <v>26</v>
      </c>
      <c r="J59" s="2" t="s">
        <v>73</v>
      </c>
      <c r="K59" s="3">
        <v>45866</v>
      </c>
      <c r="L59" s="2">
        <v>9</v>
      </c>
      <c r="M59" s="2">
        <v>11</v>
      </c>
      <c r="N59" s="2">
        <v>120</v>
      </c>
      <c r="O59" s="2">
        <v>1</v>
      </c>
      <c r="P59" s="1"/>
      <c r="Q59" s="2">
        <v>0</v>
      </c>
      <c r="R59" s="2">
        <v>0</v>
      </c>
      <c r="S59" s="3">
        <v>46092</v>
      </c>
      <c r="T59" s="5">
        <v>27819</v>
      </c>
      <c r="U59" s="2" t="s">
        <v>299</v>
      </c>
    </row>
    <row r="60" spans="1:21" x14ac:dyDescent="0.2">
      <c r="A60" s="24">
        <v>59</v>
      </c>
      <c r="B60" s="2" t="s">
        <v>300</v>
      </c>
      <c r="C60" s="2" t="s">
        <v>301</v>
      </c>
      <c r="D60" s="2" t="s">
        <v>297</v>
      </c>
      <c r="E60" s="2" t="s">
        <v>298</v>
      </c>
      <c r="F60" s="2" t="s">
        <v>298</v>
      </c>
      <c r="G60" s="2" t="s">
        <v>298</v>
      </c>
      <c r="H60" s="2" t="s">
        <v>25</v>
      </c>
      <c r="I60" s="2" t="s">
        <v>26</v>
      </c>
      <c r="J60" s="2" t="s">
        <v>73</v>
      </c>
      <c r="K60" s="3">
        <v>46020</v>
      </c>
      <c r="L60" s="2">
        <v>9</v>
      </c>
      <c r="M60" s="2">
        <v>11</v>
      </c>
      <c r="N60" s="2">
        <v>180</v>
      </c>
      <c r="O60" s="2">
        <v>1</v>
      </c>
      <c r="P60" s="1"/>
      <c r="Q60" s="2">
        <v>0</v>
      </c>
      <c r="R60" s="2">
        <v>0</v>
      </c>
      <c r="S60" s="3">
        <v>46071</v>
      </c>
      <c r="T60" s="5">
        <v>53713</v>
      </c>
      <c r="U60" s="2" t="s">
        <v>302</v>
      </c>
    </row>
  </sheetData>
  <autoFilter ref="A1:U60" xr:uid="{5497B1D4-7772-7A48-A3CF-931C25F1C3F7}">
    <sortState xmlns:xlrd2="http://schemas.microsoft.com/office/spreadsheetml/2017/richdata2" ref="A2:U60">
      <sortCondition ref="A1:A60"/>
    </sortState>
  </autoFilter>
  <pageMargins left="0.25" right="0.25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DF1C-953B-0B41-95EB-9AFFFECB87F5}">
  <dimension ref="A1:N30"/>
  <sheetViews>
    <sheetView tabSelected="1" zoomScale="135" zoomScaleNormal="11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23" sqref="H23"/>
    </sheetView>
  </sheetViews>
  <sheetFormatPr baseColWidth="10" defaultRowHeight="16" x14ac:dyDescent="0.2"/>
  <cols>
    <col min="1" max="1" width="19.83203125" customWidth="1"/>
    <col min="2" max="5" width="18.1640625" style="22" customWidth="1"/>
    <col min="6" max="6" width="17.5" style="7" customWidth="1"/>
    <col min="7" max="7" width="15.83203125" style="7" customWidth="1"/>
    <col min="8" max="9" width="18.1640625" style="22" customWidth="1"/>
    <col min="10" max="11" width="15.83203125" style="7" customWidth="1"/>
  </cols>
  <sheetData>
    <row r="1" spans="1:14" x14ac:dyDescent="0.2">
      <c r="A1" s="10"/>
      <c r="B1" s="12" t="s">
        <v>316</v>
      </c>
      <c r="C1" s="12" t="s">
        <v>340</v>
      </c>
      <c r="D1" s="12" t="s">
        <v>346</v>
      </c>
      <c r="E1" s="12" t="s">
        <v>352</v>
      </c>
      <c r="F1" s="12" t="s">
        <v>319</v>
      </c>
      <c r="G1" s="12" t="s">
        <v>317</v>
      </c>
      <c r="H1" s="12" t="s">
        <v>354</v>
      </c>
      <c r="I1" s="12" t="s">
        <v>359</v>
      </c>
      <c r="J1" s="12" t="s">
        <v>318</v>
      </c>
      <c r="K1" s="12" t="s">
        <v>320</v>
      </c>
    </row>
    <row r="2" spans="1:14" x14ac:dyDescent="0.2">
      <c r="A2" s="10" t="s">
        <v>321</v>
      </c>
      <c r="B2" s="19" t="s">
        <v>322</v>
      </c>
      <c r="C2" s="19" t="s">
        <v>322</v>
      </c>
      <c r="D2" s="19" t="s">
        <v>322</v>
      </c>
      <c r="E2" s="19" t="s">
        <v>322</v>
      </c>
      <c r="F2" s="19" t="s">
        <v>357</v>
      </c>
      <c r="G2" s="12"/>
      <c r="H2" s="19" t="s">
        <v>355</v>
      </c>
      <c r="I2" s="19" t="s">
        <v>360</v>
      </c>
      <c r="J2" s="12"/>
      <c r="K2" s="12"/>
    </row>
    <row r="3" spans="1:14" x14ac:dyDescent="0.2">
      <c r="A3" s="10" t="s">
        <v>341</v>
      </c>
      <c r="B3" s="19"/>
      <c r="C3" s="19" t="s">
        <v>342</v>
      </c>
      <c r="D3" s="19" t="s">
        <v>347</v>
      </c>
      <c r="E3" s="19" t="s">
        <v>351</v>
      </c>
      <c r="F3" s="19" t="s">
        <v>358</v>
      </c>
      <c r="G3" s="12"/>
      <c r="H3" s="19" t="s">
        <v>356</v>
      </c>
      <c r="I3" s="19" t="s">
        <v>361</v>
      </c>
      <c r="J3" s="12"/>
      <c r="K3" s="12"/>
    </row>
    <row r="4" spans="1:14" x14ac:dyDescent="0.2">
      <c r="A4" s="10" t="s">
        <v>323</v>
      </c>
      <c r="B4" s="19" t="s">
        <v>324</v>
      </c>
      <c r="C4" s="19" t="s">
        <v>343</v>
      </c>
      <c r="D4" s="19" t="s">
        <v>343</v>
      </c>
      <c r="E4" s="19" t="s">
        <v>343</v>
      </c>
      <c r="F4" s="19"/>
      <c r="G4" s="12"/>
      <c r="H4" s="19" t="s">
        <v>343</v>
      </c>
      <c r="I4" s="19" t="s">
        <v>343</v>
      </c>
      <c r="J4" s="12"/>
      <c r="K4" s="12"/>
    </row>
    <row r="5" spans="1:14" x14ac:dyDescent="0.2">
      <c r="A5" s="10" t="s">
        <v>325</v>
      </c>
      <c r="B5" s="19" t="s">
        <v>332</v>
      </c>
      <c r="C5" s="19" t="s">
        <v>336</v>
      </c>
      <c r="D5" s="19" t="s">
        <v>336</v>
      </c>
      <c r="E5" s="19" t="s">
        <v>336</v>
      </c>
      <c r="F5" s="19" t="s">
        <v>336</v>
      </c>
      <c r="G5" s="12" t="s">
        <v>331</v>
      </c>
      <c r="H5" s="19" t="s">
        <v>336</v>
      </c>
      <c r="I5" s="19" t="s">
        <v>336</v>
      </c>
      <c r="J5" s="12"/>
      <c r="K5" s="12"/>
    </row>
    <row r="6" spans="1:14" x14ac:dyDescent="0.2">
      <c r="A6" s="10" t="s">
        <v>326</v>
      </c>
      <c r="B6" s="19" t="s">
        <v>333</v>
      </c>
      <c r="C6" s="19" t="s">
        <v>344</v>
      </c>
      <c r="D6" s="19" t="s">
        <v>348</v>
      </c>
      <c r="E6" s="19" t="s">
        <v>348</v>
      </c>
      <c r="F6" s="19" t="s">
        <v>344</v>
      </c>
      <c r="G6" s="12"/>
      <c r="H6" s="19" t="s">
        <v>348</v>
      </c>
      <c r="I6" s="19" t="s">
        <v>344</v>
      </c>
      <c r="J6" s="12"/>
      <c r="K6" s="12"/>
    </row>
    <row r="7" spans="1:14" x14ac:dyDescent="0.2">
      <c r="A7" s="10" t="s">
        <v>327</v>
      </c>
      <c r="B7" s="19" t="s">
        <v>335</v>
      </c>
      <c r="C7" s="19" t="s">
        <v>334</v>
      </c>
      <c r="D7" s="19" t="s">
        <v>349</v>
      </c>
      <c r="E7" s="19" t="s">
        <v>334</v>
      </c>
      <c r="F7" s="19"/>
      <c r="G7" s="12"/>
      <c r="H7" s="19" t="s">
        <v>349</v>
      </c>
      <c r="I7" s="19" t="s">
        <v>349</v>
      </c>
      <c r="J7" s="12"/>
      <c r="K7" s="12"/>
    </row>
    <row r="8" spans="1:14" x14ac:dyDescent="0.2">
      <c r="A8" s="10" t="s">
        <v>328</v>
      </c>
      <c r="B8" s="19" t="s">
        <v>337</v>
      </c>
      <c r="C8" s="19" t="s">
        <v>345</v>
      </c>
      <c r="D8" s="19" t="s">
        <v>350</v>
      </c>
      <c r="E8" s="19" t="s">
        <v>353</v>
      </c>
      <c r="F8" s="19" t="s">
        <v>331</v>
      </c>
      <c r="G8" s="12"/>
      <c r="H8" s="19" t="s">
        <v>336</v>
      </c>
      <c r="I8" s="19" t="s">
        <v>331</v>
      </c>
      <c r="J8" s="12"/>
      <c r="K8" s="12"/>
    </row>
    <row r="9" spans="1:14" x14ac:dyDescent="0.2">
      <c r="A9" s="10" t="s">
        <v>329</v>
      </c>
      <c r="B9" s="19" t="s">
        <v>338</v>
      </c>
      <c r="C9" s="19" t="s">
        <v>338</v>
      </c>
      <c r="D9" s="19" t="s">
        <v>338</v>
      </c>
      <c r="E9" s="19" t="s">
        <v>338</v>
      </c>
      <c r="F9" s="19" t="s">
        <v>338</v>
      </c>
      <c r="G9" s="12"/>
      <c r="H9" s="19" t="s">
        <v>338</v>
      </c>
      <c r="I9" s="19" t="s">
        <v>338</v>
      </c>
      <c r="J9" s="12"/>
      <c r="K9" s="12"/>
    </row>
    <row r="10" spans="1:14" x14ac:dyDescent="0.2">
      <c r="A10" s="10" t="s">
        <v>330</v>
      </c>
      <c r="B10" s="19" t="s">
        <v>339</v>
      </c>
      <c r="C10" s="19" t="s">
        <v>336</v>
      </c>
      <c r="D10" s="19" t="s">
        <v>336</v>
      </c>
      <c r="E10" s="19" t="s">
        <v>336</v>
      </c>
      <c r="F10" s="19" t="s">
        <v>331</v>
      </c>
      <c r="G10" s="12"/>
      <c r="H10" s="19" t="s">
        <v>336</v>
      </c>
      <c r="I10" s="19" t="s">
        <v>331</v>
      </c>
      <c r="J10" s="12"/>
      <c r="K10" s="12"/>
    </row>
    <row r="11" spans="1:14" x14ac:dyDescent="0.2">
      <c r="A11" s="10"/>
      <c r="B11" s="19"/>
      <c r="C11" s="19"/>
      <c r="D11" s="19"/>
      <c r="E11" s="19"/>
      <c r="F11" s="12"/>
      <c r="G11" s="12"/>
      <c r="H11" s="19"/>
      <c r="I11" s="19"/>
      <c r="J11" s="12"/>
      <c r="K11" s="12"/>
    </row>
    <row r="12" spans="1:14" x14ac:dyDescent="0.2">
      <c r="A12" s="10" t="s">
        <v>303</v>
      </c>
      <c r="B12" s="18">
        <f>B13*6.9</f>
        <v>594752.4</v>
      </c>
      <c r="C12" s="18">
        <v>552593</v>
      </c>
      <c r="D12" s="18">
        <v>510200</v>
      </c>
      <c r="E12" s="18">
        <v>383698</v>
      </c>
      <c r="F12" s="17">
        <v>202000</v>
      </c>
      <c r="G12" s="17">
        <v>120000</v>
      </c>
      <c r="H12" s="18">
        <v>136948</v>
      </c>
      <c r="I12" s="18">
        <v>28550</v>
      </c>
      <c r="J12" s="17">
        <v>46000</v>
      </c>
      <c r="K12" s="17">
        <v>120000</v>
      </c>
    </row>
    <row r="13" spans="1:14" x14ac:dyDescent="0.2">
      <c r="A13" s="10" t="s">
        <v>304</v>
      </c>
      <c r="B13" s="20">
        <v>86196</v>
      </c>
      <c r="C13" s="20">
        <f t="shared" ref="B13:K13" si="0">C12/8</f>
        <v>69074.125</v>
      </c>
      <c r="D13" s="20">
        <f t="shared" si="0"/>
        <v>63775</v>
      </c>
      <c r="E13" s="20">
        <f t="shared" si="0"/>
        <v>47962.25</v>
      </c>
      <c r="F13" s="13">
        <f t="shared" si="0"/>
        <v>25250</v>
      </c>
      <c r="G13" s="13">
        <f t="shared" si="0"/>
        <v>15000</v>
      </c>
      <c r="H13" s="20">
        <f t="shared" si="0"/>
        <v>17118.5</v>
      </c>
      <c r="I13" s="20">
        <f t="shared" si="0"/>
        <v>3568.75</v>
      </c>
      <c r="J13" s="13">
        <f t="shared" si="0"/>
        <v>5750</v>
      </c>
      <c r="K13" s="13">
        <f t="shared" si="0"/>
        <v>15000</v>
      </c>
      <c r="M13" s="16">
        <f>20*40*30</f>
        <v>24000</v>
      </c>
      <c r="N13">
        <f>J13/(40*30)</f>
        <v>4.791666666666667</v>
      </c>
    </row>
    <row r="15" spans="1:14" x14ac:dyDescent="0.2">
      <c r="A15" s="10" t="s">
        <v>305</v>
      </c>
      <c r="B15" s="21">
        <v>18</v>
      </c>
      <c r="C15" s="21">
        <v>18</v>
      </c>
      <c r="D15" s="21">
        <v>18</v>
      </c>
      <c r="E15" s="21">
        <v>18</v>
      </c>
      <c r="F15" s="21">
        <v>21</v>
      </c>
      <c r="G15" s="21">
        <v>18</v>
      </c>
      <c r="H15" s="21">
        <v>21</v>
      </c>
      <c r="I15" s="21">
        <v>21</v>
      </c>
      <c r="J15" s="21">
        <v>18</v>
      </c>
      <c r="K15" s="21">
        <v>18</v>
      </c>
    </row>
    <row r="16" spans="1:14" x14ac:dyDescent="0.2">
      <c r="A16" s="10"/>
      <c r="B16" s="21">
        <f>B15*0.18</f>
        <v>3.2399999999999998</v>
      </c>
      <c r="C16" s="21">
        <f t="shared" ref="B16:K16" si="1">C15*0.18</f>
        <v>3.2399999999999998</v>
      </c>
      <c r="D16" s="21">
        <f t="shared" si="1"/>
        <v>3.2399999999999998</v>
      </c>
      <c r="E16" s="21">
        <f t="shared" si="1"/>
        <v>3.2399999999999998</v>
      </c>
      <c r="F16" s="21">
        <f t="shared" si="1"/>
        <v>3.78</v>
      </c>
      <c r="G16" s="21">
        <f t="shared" si="1"/>
        <v>3.2399999999999998</v>
      </c>
      <c r="H16" s="21">
        <f t="shared" si="1"/>
        <v>3.78</v>
      </c>
      <c r="I16" s="21">
        <f t="shared" si="1"/>
        <v>3.78</v>
      </c>
      <c r="J16" s="21">
        <f t="shared" si="1"/>
        <v>3.2399999999999998</v>
      </c>
      <c r="K16" s="21">
        <f t="shared" si="1"/>
        <v>3.2399999999999998</v>
      </c>
    </row>
    <row r="17" spans="1:13" x14ac:dyDescent="0.2">
      <c r="A17" s="10" t="s">
        <v>313</v>
      </c>
      <c r="B17" s="18">
        <f t="shared" ref="B17:K17" si="2">(B15+B16)*B13</f>
        <v>1830803.0399999998</v>
      </c>
      <c r="C17" s="18">
        <f t="shared" si="2"/>
        <v>1467134.4149999998</v>
      </c>
      <c r="D17" s="18">
        <f t="shared" si="2"/>
        <v>1354581</v>
      </c>
      <c r="E17" s="18">
        <f t="shared" si="2"/>
        <v>1018718.19</v>
      </c>
      <c r="F17" s="18">
        <f t="shared" si="2"/>
        <v>625695</v>
      </c>
      <c r="G17" s="18">
        <f t="shared" si="2"/>
        <v>318600</v>
      </c>
      <c r="H17" s="18">
        <f t="shared" si="2"/>
        <v>424196.43</v>
      </c>
      <c r="I17" s="18">
        <f t="shared" si="2"/>
        <v>88433.625</v>
      </c>
      <c r="J17" s="18">
        <f t="shared" si="2"/>
        <v>122129.99999999999</v>
      </c>
      <c r="K17" s="18">
        <f t="shared" si="2"/>
        <v>318600</v>
      </c>
    </row>
    <row r="18" spans="1:13" x14ac:dyDescent="0.2">
      <c r="A18" t="s">
        <v>314</v>
      </c>
    </row>
    <row r="20" spans="1:13" x14ac:dyDescent="0.2">
      <c r="A20" s="14" t="s">
        <v>315</v>
      </c>
    </row>
    <row r="21" spans="1:13" x14ac:dyDescent="0.2">
      <c r="A21" s="10" t="s">
        <v>306</v>
      </c>
      <c r="B21" s="21">
        <f t="shared" ref="B21:K21" si="3">B12</f>
        <v>594752.4</v>
      </c>
      <c r="C21" s="21">
        <f t="shared" si="3"/>
        <v>552593</v>
      </c>
      <c r="D21" s="21">
        <f t="shared" si="3"/>
        <v>510200</v>
      </c>
      <c r="E21" s="21">
        <f t="shared" si="3"/>
        <v>383698</v>
      </c>
      <c r="F21" s="11">
        <f t="shared" si="3"/>
        <v>202000</v>
      </c>
      <c r="G21" s="11">
        <f t="shared" si="3"/>
        <v>120000</v>
      </c>
      <c r="H21" s="21">
        <f t="shared" si="3"/>
        <v>136948</v>
      </c>
      <c r="I21" s="21">
        <f t="shared" si="3"/>
        <v>28550</v>
      </c>
      <c r="J21" s="11">
        <f t="shared" si="3"/>
        <v>46000</v>
      </c>
      <c r="K21" s="11">
        <f t="shared" si="3"/>
        <v>120000</v>
      </c>
      <c r="M21" s="15"/>
    </row>
    <row r="22" spans="1:13" x14ac:dyDescent="0.2">
      <c r="A22" s="10" t="s">
        <v>307</v>
      </c>
      <c r="B22" s="21">
        <v>100000</v>
      </c>
      <c r="C22" s="21">
        <f>C17*0.02</f>
        <v>29342.688299999998</v>
      </c>
      <c r="D22" s="21">
        <f>D17*0.02</f>
        <v>27091.62</v>
      </c>
      <c r="E22" s="21">
        <v>50000</v>
      </c>
      <c r="F22" s="11">
        <v>50000</v>
      </c>
      <c r="G22" s="11">
        <v>50000</v>
      </c>
      <c r="H22" s="21">
        <v>50000</v>
      </c>
      <c r="I22" s="21">
        <v>20000</v>
      </c>
      <c r="J22" s="11">
        <f>J17*0.02</f>
        <v>2442.6</v>
      </c>
      <c r="K22" s="11">
        <v>20000</v>
      </c>
    </row>
    <row r="23" spans="1:13" x14ac:dyDescent="0.2">
      <c r="A23" s="10" t="s">
        <v>308</v>
      </c>
      <c r="B23" s="21">
        <f t="shared" ref="B23:K23" si="4">(B17-B12)*0.18</f>
        <v>222489.11519999994</v>
      </c>
      <c r="C23" s="21">
        <f t="shared" si="4"/>
        <v>164617.45469999997</v>
      </c>
      <c r="D23" s="21">
        <f t="shared" si="4"/>
        <v>151988.57999999999</v>
      </c>
      <c r="E23" s="21">
        <f t="shared" si="4"/>
        <v>114303.63419999999</v>
      </c>
      <c r="F23" s="11">
        <f t="shared" si="4"/>
        <v>76265.099999999991</v>
      </c>
      <c r="G23" s="11">
        <f t="shared" si="4"/>
        <v>35748</v>
      </c>
      <c r="H23" s="21">
        <f t="shared" si="4"/>
        <v>51704.717399999994</v>
      </c>
      <c r="I23" s="21">
        <f t="shared" si="4"/>
        <v>10779.0525</v>
      </c>
      <c r="J23" s="11">
        <f t="shared" si="4"/>
        <v>13703.399999999996</v>
      </c>
      <c r="K23" s="11">
        <f t="shared" si="4"/>
        <v>35748</v>
      </c>
    </row>
    <row r="24" spans="1:13" x14ac:dyDescent="0.2">
      <c r="A24" s="10" t="s">
        <v>309</v>
      </c>
      <c r="B24" s="21">
        <v>50000</v>
      </c>
      <c r="C24" s="21">
        <v>30000</v>
      </c>
      <c r="D24" s="21">
        <v>30000</v>
      </c>
      <c r="E24" s="21">
        <v>30000</v>
      </c>
      <c r="F24" s="11">
        <v>15000</v>
      </c>
      <c r="G24" s="11">
        <v>50000</v>
      </c>
      <c r="H24" s="21">
        <v>30000</v>
      </c>
      <c r="I24" s="21">
        <v>30000</v>
      </c>
      <c r="J24" s="11">
        <v>15000</v>
      </c>
      <c r="K24" s="11">
        <v>15000</v>
      </c>
    </row>
    <row r="25" spans="1:13" x14ac:dyDescent="0.2">
      <c r="A25" s="10" t="s">
        <v>310</v>
      </c>
      <c r="B25" s="21">
        <v>30000</v>
      </c>
      <c r="C25" s="21">
        <v>30000</v>
      </c>
      <c r="D25" s="21">
        <v>30000</v>
      </c>
      <c r="E25" s="21">
        <v>30000</v>
      </c>
      <c r="F25" s="11">
        <v>5000</v>
      </c>
      <c r="G25" s="11">
        <v>30000</v>
      </c>
      <c r="H25" s="21">
        <v>30000</v>
      </c>
      <c r="I25" s="21">
        <v>30000</v>
      </c>
      <c r="J25" s="11">
        <v>5000</v>
      </c>
      <c r="K25" s="11">
        <v>5000</v>
      </c>
    </row>
    <row r="26" spans="1:13" x14ac:dyDescent="0.2">
      <c r="A26" s="10" t="s">
        <v>311</v>
      </c>
      <c r="B26" s="21">
        <f t="shared" ref="B26:K26" si="5">B17*0.025</f>
        <v>45770.076000000001</v>
      </c>
      <c r="C26" s="21">
        <f t="shared" si="5"/>
        <v>36678.360374999997</v>
      </c>
      <c r="D26" s="21">
        <f t="shared" si="5"/>
        <v>33864.525000000001</v>
      </c>
      <c r="E26" s="21">
        <f t="shared" si="5"/>
        <v>25467.954750000001</v>
      </c>
      <c r="F26" s="11">
        <f t="shared" si="5"/>
        <v>15642.375</v>
      </c>
      <c r="G26" s="11">
        <f t="shared" si="5"/>
        <v>7965</v>
      </c>
      <c r="H26" s="21">
        <f t="shared" si="5"/>
        <v>10604.910750000001</v>
      </c>
      <c r="I26" s="21">
        <f t="shared" si="5"/>
        <v>2210.8406250000003</v>
      </c>
      <c r="J26" s="11">
        <f t="shared" si="5"/>
        <v>3053.25</v>
      </c>
      <c r="K26" s="11">
        <f t="shared" si="5"/>
        <v>7965</v>
      </c>
    </row>
    <row r="27" spans="1:13" x14ac:dyDescent="0.2">
      <c r="A27" s="10"/>
      <c r="B27" s="18">
        <f t="shared" ref="B27:K27" si="6">SUM(B21:B26)</f>
        <v>1043011.5912</v>
      </c>
      <c r="C27" s="18">
        <f t="shared" si="6"/>
        <v>843231.50337500009</v>
      </c>
      <c r="D27" s="18">
        <f t="shared" si="6"/>
        <v>783144.72499999998</v>
      </c>
      <c r="E27" s="18">
        <f t="shared" si="6"/>
        <v>633469.58895</v>
      </c>
      <c r="F27" s="17">
        <f t="shared" si="6"/>
        <v>363907.47499999998</v>
      </c>
      <c r="G27" s="17">
        <f t="shared" si="6"/>
        <v>293713</v>
      </c>
      <c r="H27" s="18">
        <f t="shared" si="6"/>
        <v>309257.62814999995</v>
      </c>
      <c r="I27" s="18">
        <f t="shared" si="6"/>
        <v>121539.89312499999</v>
      </c>
      <c r="J27" s="17">
        <f t="shared" si="6"/>
        <v>85199.25</v>
      </c>
      <c r="K27" s="17">
        <f t="shared" si="6"/>
        <v>203713</v>
      </c>
    </row>
    <row r="29" spans="1:13" x14ac:dyDescent="0.2">
      <c r="B29" s="23">
        <f t="shared" ref="B29:K29" si="7">B17-B27</f>
        <v>787791.44879999978</v>
      </c>
      <c r="C29" s="23">
        <f t="shared" si="7"/>
        <v>623902.91162499972</v>
      </c>
      <c r="D29" s="23">
        <f t="shared" si="7"/>
        <v>571436.27500000002</v>
      </c>
      <c r="E29" s="23">
        <f t="shared" si="7"/>
        <v>385248.60104999994</v>
      </c>
      <c r="F29" s="9">
        <f t="shared" si="7"/>
        <v>261787.52500000002</v>
      </c>
      <c r="G29" s="9">
        <f t="shared" si="7"/>
        <v>24887</v>
      </c>
      <c r="H29" s="23">
        <f t="shared" si="7"/>
        <v>114938.80185000005</v>
      </c>
      <c r="I29" s="23">
        <f t="shared" si="7"/>
        <v>-33106.268124999988</v>
      </c>
      <c r="J29" s="9">
        <f t="shared" si="7"/>
        <v>36930.749999999985</v>
      </c>
      <c r="K29" s="9">
        <f t="shared" si="7"/>
        <v>114887</v>
      </c>
    </row>
    <row r="30" spans="1:13" x14ac:dyDescent="0.2">
      <c r="B30" s="23" t="s">
        <v>312</v>
      </c>
      <c r="C30" s="23" t="s">
        <v>312</v>
      </c>
      <c r="D30" s="23" t="s">
        <v>312</v>
      </c>
      <c r="E30" s="23" t="s">
        <v>312</v>
      </c>
      <c r="F30" s="8" t="s">
        <v>312</v>
      </c>
      <c r="G30" s="8" t="s">
        <v>312</v>
      </c>
      <c r="H30" s="23" t="s">
        <v>312</v>
      </c>
      <c r="I30" s="23" t="s">
        <v>312</v>
      </c>
      <c r="J30" s="8" t="s">
        <v>312</v>
      </c>
      <c r="K30" s="8" t="s">
        <v>312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Gali</cp:lastModifiedBy>
  <cp:lastPrinted>2026-04-05T10:49:43Z</cp:lastPrinted>
  <dcterms:created xsi:type="dcterms:W3CDTF">2026-03-23T04:58:13Z</dcterms:created>
  <dcterms:modified xsi:type="dcterms:W3CDTF">2026-04-21T10:09:53Z</dcterms:modified>
</cp:coreProperties>
</file>