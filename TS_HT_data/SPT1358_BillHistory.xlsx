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His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<sst xmlns="http://schemas.openxmlformats.org/spreadsheetml/2006/main" count="86" uniqueCount="65">
  <si>
    <t xml:space="preserve">SOUTHERN POWER DISTRIBUTION COMPANY OF TELANGANA LIMITED</t>
  </si>
  <si>
    <t xml:space="preserve">Bill History of SPT1358</t>
  </si>
  <si>
    <t xml:space="preserve">Consumer Details</t>
  </si>
  <si>
    <t xml:space="preserve">Service No.</t>
  </si>
  <si>
    <t xml:space="preserve">SPT1358</t>
  </si>
  <si>
    <t xml:space="preserve">Consumer Name</t>
  </si>
  <si>
    <t xml:space="preserve">DEPOT MANAGER SURYAPET</t>
  </si>
  <si>
    <t xml:space="preserve">Address</t>
  </si>
  <si>
    <t xml:space="preserve">BUS STAND COMPLEX, BUS STAND AREA, BUS STAND COMPLEX</t>
  </si>
  <si>
    <t xml:space="preserve">Circle</t>
  </si>
  <si>
    <t xml:space="preserve">SURYAPET</t>
  </si>
  <si>
    <t xml:space="preserve">Division</t>
  </si>
  <si>
    <t xml:space="preserve">Sub Division</t>
  </si>
  <si>
    <t xml:space="preserve">Section</t>
  </si>
  <si>
    <t xml:space="preserve">SURYAPET TOWN-II</t>
  </si>
  <si>
    <t xml:space="preserve">Status</t>
  </si>
  <si>
    <t xml:space="preserve">01</t>
  </si>
  <si>
    <t xml:space="preserve">Category</t>
  </si>
  <si>
    <t xml:space="preserve">9</t>
  </si>
  <si>
    <t xml:space="preserve">Service Type</t>
  </si>
  <si>
    <t xml:space="preserve">G</t>
  </si>
  <si>
    <t xml:space="preserve">CMD</t>
  </si>
  <si>
    <t xml:space="preserve">4000</t>
  </si>
  <si>
    <t xml:space="preserve">Voltage</t>
  </si>
  <si>
    <t xml:space="preserve">33</t>
  </si>
  <si>
    <t xml:space="preserve">Old Service No.</t>
  </si>
  <si>
    <t xml:space="preserve">null</t>
  </si>
  <si>
    <t xml:space="preserve">Supply Connection Date</t>
  </si>
  <si>
    <t xml:space="preserve">19-MAY-25</t>
  </si>
  <si>
    <t xml:space="preserve">SL.
NO.</t>
  </si>
  <si>
    <t xml:space="preserve">BILL MONTH</t>
  </si>
  <si>
    <t xml:space="preserve">PRST_RDG_DT</t>
  </si>
  <si>
    <t xml:space="preserve">PRST_STATUS</t>
  </si>
  <si>
    <t xml:space="preserve">READINGS</t>
  </si>
  <si>
    <t xml:space="preserve">BILLED</t>
  </si>
  <si>
    <t xml:space="preserve">RECORDED</t>
  </si>
  <si>
    <t xml:space="preserve">MF for ALL</t>
  </si>
  <si>
    <t xml:space="preserve">DEMAND</t>
  </si>
  <si>
    <t xml:space="preserve">KWH</t>
  </si>
  <si>
    <t xml:space="preserve">KVAH</t>
  </si>
  <si>
    <t xml:space="preserve">KVA</t>
  </si>
  <si>
    <t xml:space="preserve">TOD</t>
  </si>
  <si>
    <t xml:space="preserve">MF</t>
  </si>
  <si>
    <t xml:space="preserve">AMOUNT</t>
  </si>
  <si>
    <t xml:space="preserve">01-FEB26</t>
  </si>
  <si>
    <t xml:space="preserve">28-FEB-2026</t>
  </si>
  <si>
    <t xml:space="preserve">01-JAN26</t>
  </si>
  <si>
    <t xml:space="preserve">31-JAN-2026</t>
  </si>
  <si>
    <t xml:space="preserve">01-DEC25</t>
  </si>
  <si>
    <t xml:space="preserve">31-DEC-2025</t>
  </si>
  <si>
    <t xml:space="preserve">01-NOV25</t>
  </si>
  <si>
    <t xml:space="preserve">30-NOV-2025</t>
  </si>
  <si>
    <t xml:space="preserve">01-OCT25</t>
  </si>
  <si>
    <t xml:space="preserve">31-OCT-2025</t>
  </si>
  <si>
    <t xml:space="preserve">01-SEP25</t>
  </si>
  <si>
    <t xml:space="preserve">30-SEP-2025</t>
  </si>
  <si>
    <t xml:space="preserve">01-AUG25</t>
  </si>
  <si>
    <t xml:space="preserve">31-AUG-2025</t>
  </si>
  <si>
    <t xml:space="preserve">01-JUL25</t>
  </si>
  <si>
    <t xml:space="preserve">31-JUL-2025</t>
  </si>
  <si>
    <t xml:space="preserve">01-JUN25</t>
  </si>
  <si>
    <t xml:space="preserve">30-JUN-2025</t>
  </si>
  <si>
    <t xml:space="preserve">01-MAY25</t>
  </si>
  <si>
    <t xml:space="preserve">31-MAY-2025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</si>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</sst>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AF1"/>
        <bgColor rgb="FFCCFF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6" min="5" style="0" width="10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6"/>
    <col collapsed="false" customWidth="true" hidden="false" outlineLevel="0" max="12" min="11" style="0" width="10"/>
    <col collapsed="false" customWidth="true" hidden="false" outlineLevel="0" max="13" min="13" style="0" width="8"/>
    <col collapsed="false" customWidth="true" hidden="false" outlineLevel="0" max="17" min="14" style="0" width="10"/>
    <col collapsed="false" customWidth="true" hidden="false" outlineLevel="0" max="18" min="18" style="0" width="13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5" hidden="false" customHeight="false" outlineLevel="0" collapsed="false">
      <c r="A4" s="4" t="s">
        <v>3</v>
      </c>
      <c r="B4" s="4"/>
      <c r="C4" s="5" t="s">
        <v>4</v>
      </c>
      <c r="D4" s="5"/>
      <c r="E4" s="5"/>
      <c r="F4" s="5"/>
      <c r="G4" s="4" t="s">
        <v>5</v>
      </c>
      <c r="H4" s="4"/>
      <c r="I4" s="5" t="s">
        <v>6</v>
      </c>
      <c r="J4" s="5"/>
      <c r="K4" s="5"/>
      <c r="L4" s="5"/>
      <c r="M4" s="5"/>
      <c r="N4" s="5"/>
      <c r="O4" s="5"/>
      <c r="P4" s="5"/>
      <c r="Q4" s="5"/>
      <c r="R4" s="5"/>
    </row>
    <row r="5" customFormat="false" ht="15" hidden="false" customHeight="false" outlineLevel="0" collapsed="false">
      <c r="A5" s="4" t="s">
        <v>7</v>
      </c>
      <c r="B5" s="4"/>
      <c r="C5" s="5" t="s">
        <v>8</v>
      </c>
      <c r="D5" s="5"/>
      <c r="E5" s="5"/>
      <c r="F5" s="5"/>
      <c r="G5" s="4" t="s">
        <v>9</v>
      </c>
      <c r="H5" s="4"/>
      <c r="I5" s="5" t="s">
        <v>10</v>
      </c>
      <c r="J5" s="5"/>
      <c r="K5" s="5"/>
      <c r="L5" s="5"/>
      <c r="M5" s="5"/>
      <c r="N5" s="5"/>
      <c r="O5" s="5"/>
      <c r="P5" s="5"/>
      <c r="Q5" s="5"/>
      <c r="R5" s="5"/>
    </row>
    <row r="6" customFormat="false" ht="15" hidden="false" customHeight="false" outlineLevel="0" collapsed="false">
      <c r="A6" s="4" t="s">
        <v>11</v>
      </c>
      <c r="B6" s="4"/>
      <c r="C6" s="5" t="s">
        <v>10</v>
      </c>
      <c r="D6" s="5"/>
      <c r="E6" s="5"/>
      <c r="F6" s="5"/>
      <c r="G6" s="4" t="s">
        <v>12</v>
      </c>
      <c r="H6" s="4"/>
      <c r="I6" s="5" t="s">
        <v>10</v>
      </c>
      <c r="J6" s="5"/>
      <c r="K6" s="5"/>
      <c r="L6" s="5"/>
      <c r="M6" s="5"/>
      <c r="N6" s="5"/>
      <c r="O6" s="5"/>
      <c r="P6" s="5"/>
      <c r="Q6" s="5"/>
      <c r="R6" s="5"/>
    </row>
    <row r="7" customFormat="false" ht="15" hidden="false" customHeight="false" outlineLevel="0" collapsed="false">
      <c r="A7" s="4" t="s">
        <v>13</v>
      </c>
      <c r="B7" s="4"/>
      <c r="C7" s="5" t="s">
        <v>14</v>
      </c>
      <c r="D7" s="5"/>
      <c r="E7" s="5"/>
      <c r="F7" s="5"/>
      <c r="G7" s="4" t="s">
        <v>15</v>
      </c>
      <c r="H7" s="4"/>
      <c r="I7" s="5" t="s">
        <v>16</v>
      </c>
      <c r="J7" s="5"/>
      <c r="K7" s="5"/>
      <c r="L7" s="5"/>
      <c r="M7" s="5"/>
      <c r="N7" s="5"/>
      <c r="O7" s="5"/>
      <c r="P7" s="5"/>
      <c r="Q7" s="5"/>
      <c r="R7" s="5"/>
    </row>
    <row r="8" customFormat="false" ht="15" hidden="false" customHeight="false" outlineLevel="0" collapsed="false">
      <c r="A8" s="4" t="s">
        <v>17</v>
      </c>
      <c r="B8" s="4"/>
      <c r="C8" s="5" t="s">
        <v>18</v>
      </c>
      <c r="D8" s="5"/>
      <c r="E8" s="5"/>
      <c r="F8" s="5"/>
      <c r="G8" s="4" t="s">
        <v>19</v>
      </c>
      <c r="H8" s="4"/>
      <c r="I8" s="5" t="s">
        <v>20</v>
      </c>
      <c r="J8" s="5"/>
      <c r="K8" s="5"/>
      <c r="L8" s="5"/>
      <c r="M8" s="5"/>
      <c r="N8" s="5"/>
      <c r="O8" s="5"/>
      <c r="P8" s="5"/>
      <c r="Q8" s="5"/>
      <c r="R8" s="5"/>
    </row>
    <row r="9" customFormat="false" ht="15" hidden="false" customHeight="false" outlineLevel="0" collapsed="false">
      <c r="A9" s="4" t="s">
        <v>21</v>
      </c>
      <c r="B9" s="4"/>
      <c r="C9" s="5" t="s">
        <v>22</v>
      </c>
      <c r="D9" s="5"/>
      <c r="E9" s="5"/>
      <c r="F9" s="5"/>
      <c r="G9" s="4" t="s">
        <v>23</v>
      </c>
      <c r="H9" s="4"/>
      <c r="I9" s="5" t="s">
        <v>24</v>
      </c>
      <c r="J9" s="5"/>
      <c r="K9" s="5"/>
      <c r="L9" s="5"/>
      <c r="M9" s="5"/>
      <c r="N9" s="5"/>
      <c r="O9" s="5"/>
      <c r="P9" s="5"/>
      <c r="Q9" s="5"/>
      <c r="R9" s="5"/>
    </row>
    <row r="10" customFormat="false" ht="15" hidden="false" customHeight="false" outlineLevel="0" collapsed="false">
      <c r="A10" s="4" t="s">
        <v>25</v>
      </c>
      <c r="B10" s="4"/>
      <c r="C10" s="5" t="s">
        <v>26</v>
      </c>
      <c r="D10" s="5"/>
      <c r="E10" s="5"/>
      <c r="F10" s="5"/>
      <c r="G10" s="4" t="s">
        <v>27</v>
      </c>
      <c r="H10" s="4"/>
      <c r="I10" s="5" t="s">
        <v>28</v>
      </c>
      <c r="J10" s="5"/>
      <c r="K10" s="5"/>
      <c r="L10" s="5"/>
      <c r="M10" s="5"/>
      <c r="N10" s="5"/>
      <c r="O10" s="5"/>
      <c r="P10" s="5"/>
      <c r="Q10" s="5"/>
      <c r="R10" s="5"/>
    </row>
    <row r="12" customFormat="false" ht="18" hidden="false" customHeight="true" outlineLevel="0" collapsed="false">
      <c r="A12" s="6" t="s">
        <v>29</v>
      </c>
      <c r="B12" s="6" t="s">
        <v>30</v>
      </c>
      <c r="C12" s="6" t="s">
        <v>31</v>
      </c>
      <c r="D12" s="6" t="s">
        <v>32</v>
      </c>
      <c r="E12" s="6" t="s">
        <v>33</v>
      </c>
      <c r="F12" s="6"/>
      <c r="G12" s="6"/>
      <c r="H12" s="6"/>
      <c r="I12" s="6"/>
      <c r="J12" s="6"/>
      <c r="K12" s="6" t="s">
        <v>34</v>
      </c>
      <c r="L12" s="6"/>
      <c r="M12" s="6"/>
      <c r="N12" s="6"/>
      <c r="O12" s="6"/>
      <c r="P12" s="6"/>
      <c r="Q12" s="6"/>
      <c r="R12" s="6"/>
    </row>
    <row r="13" customFormat="false" ht="18" hidden="false" customHeight="true" outlineLevel="0" collapsed="false">
      <c r="A13" s="6"/>
      <c r="B13" s="6"/>
      <c r="C13" s="6"/>
      <c r="D13" s="6"/>
      <c r="E13" s="6" t="s">
        <v>35</v>
      </c>
      <c r="F13" s="6"/>
      <c r="G13" s="6"/>
      <c r="H13" s="6"/>
      <c r="I13" s="6" t="s">
        <v>36</v>
      </c>
      <c r="J13" s="6"/>
      <c r="K13" s="6" t="s">
        <v>37</v>
      </c>
      <c r="L13" s="6"/>
      <c r="M13" s="6"/>
      <c r="N13" s="6"/>
      <c r="O13" s="6" t="s">
        <v>34</v>
      </c>
      <c r="P13" s="6"/>
      <c r="Q13" s="6"/>
      <c r="R13" s="6"/>
    </row>
    <row r="14" customFormat="false" ht="18" hidden="false" customHeight="true" outlineLevel="0" collapsed="false">
      <c r="A14" s="6"/>
      <c r="B14" s="6"/>
      <c r="C14" s="6"/>
      <c r="D14" s="6"/>
      <c r="E14" s="6" t="s">
        <v>38</v>
      </c>
      <c r="F14" s="6" t="s">
        <v>39</v>
      </c>
      <c r="G14" s="6" t="s">
        <v>40</v>
      </c>
      <c r="H14" s="6" t="s">
        <v>41</v>
      </c>
      <c r="I14" s="6" t="s">
        <v>38</v>
      </c>
      <c r="J14" s="6" t="s">
        <v>42</v>
      </c>
      <c r="K14" s="6" t="s">
        <v>38</v>
      </c>
      <c r="L14" s="6" t="s">
        <v>39</v>
      </c>
      <c r="M14" s="6" t="s">
        <v>40</v>
      </c>
      <c r="N14" s="6" t="s">
        <v>41</v>
      </c>
      <c r="O14" s="6" t="s">
        <v>39</v>
      </c>
      <c r="P14" s="6" t="s">
        <v>40</v>
      </c>
      <c r="Q14" s="6" t="s">
        <v>41</v>
      </c>
      <c r="R14" s="6" t="s">
        <v>43</v>
      </c>
    </row>
    <row r="15" customFormat="false" ht="15" hidden="false" customHeight="true" outlineLevel="0" collapsed="false">
      <c r="A15" s="7" t="n">
        <v>1</v>
      </c>
      <c r="B15" s="7" t="s">
        <v>44</v>
      </c>
      <c r="C15" s="7" t="s">
        <v>45</v>
      </c>
      <c r="D15" s="7" t="s">
        <v>16</v>
      </c>
      <c r="E15" s="7" t="n">
        <v>6677.53</v>
      </c>
      <c r="F15" s="7" t="n">
        <v>6679.61</v>
      </c>
      <c r="G15" s="7" t="n">
        <v>3.088</v>
      </c>
      <c r="H15" s="7" t="n">
        <v>1470.79</v>
      </c>
      <c r="I15" s="7" t="n">
        <v>1000</v>
      </c>
      <c r="J15" s="7" t="n">
        <v>849770</v>
      </c>
      <c r="K15" s="7" t="n">
        <v>850230</v>
      </c>
      <c r="L15" s="7" t="n">
        <v>3088</v>
      </c>
      <c r="M15" s="7" t="n">
        <v>195300</v>
      </c>
      <c r="N15" s="7" t="n">
        <v>850230</v>
      </c>
      <c r="O15" s="7" t="n">
        <v>3200</v>
      </c>
      <c r="P15" s="7" t="n">
        <v>270000</v>
      </c>
      <c r="Q15" s="7" t="n">
        <v>5782193</v>
      </c>
    </row>
    <row r="16" customFormat="false" ht="15" hidden="false" customHeight="true" outlineLevel="0" collapsed="false">
      <c r="A16" s="8" t="n">
        <v>2</v>
      </c>
      <c r="B16" s="8" t="s">
        <v>46</v>
      </c>
      <c r="C16" s="8" t="s">
        <v>47</v>
      </c>
      <c r="D16" s="8" t="s">
        <v>16</v>
      </c>
      <c r="E16" s="8" t="n">
        <v>5827.76</v>
      </c>
      <c r="F16" s="8" t="n">
        <v>5829.38</v>
      </c>
      <c r="G16" s="8" t="n">
        <v>3.232</v>
      </c>
      <c r="H16" s="8" t="n">
        <v>1275.49</v>
      </c>
      <c r="I16" s="8" t="n">
        <v>1000</v>
      </c>
      <c r="J16" s="8" t="n">
        <v>945270</v>
      </c>
      <c r="K16" s="8" t="n">
        <v>945860</v>
      </c>
      <c r="L16" s="8" t="n">
        <v>3232</v>
      </c>
      <c r="M16" s="8" t="n">
        <v>219980</v>
      </c>
      <c r="N16" s="8" t="n">
        <v>945860</v>
      </c>
      <c r="O16" s="8" t="n">
        <v>3232</v>
      </c>
      <c r="P16" s="8" t="n">
        <v>311310</v>
      </c>
      <c r="Q16" s="8" t="n">
        <v>6419889</v>
      </c>
    </row>
    <row r="17" customFormat="false" ht="15" hidden="false" customHeight="true" outlineLevel="0" collapsed="false">
      <c r="A17" s="7" t="n">
        <v>3</v>
      </c>
      <c r="B17" s="7" t="s">
        <v>48</v>
      </c>
      <c r="C17" s="7" t="s">
        <v>49</v>
      </c>
      <c r="D17" s="7" t="s">
        <v>16</v>
      </c>
      <c r="E17" s="7" t="n">
        <v>4882.49</v>
      </c>
      <c r="F17" s="7" t="n">
        <v>4883.52</v>
      </c>
      <c r="G17" s="7" t="n">
        <v>3.46</v>
      </c>
      <c r="H17" s="7" t="n">
        <v>1055.51</v>
      </c>
      <c r="I17" s="7" t="n">
        <v>1000</v>
      </c>
      <c r="J17" s="7" t="n">
        <v>984130</v>
      </c>
      <c r="K17" s="7" t="n">
        <v>984640</v>
      </c>
      <c r="L17" s="7" t="n">
        <v>3460</v>
      </c>
      <c r="M17" s="7" t="n">
        <v>225950</v>
      </c>
      <c r="N17" s="7" t="n">
        <v>984640</v>
      </c>
      <c r="O17" s="7" t="n">
        <v>3460</v>
      </c>
      <c r="P17" s="7" t="n">
        <v>327350</v>
      </c>
      <c r="Q17" s="7" t="n">
        <v>6657307</v>
      </c>
    </row>
    <row r="18" customFormat="false" ht="15" hidden="false" customHeight="true" outlineLevel="0" collapsed="false">
      <c r="A18" s="8" t="n">
        <v>4</v>
      </c>
      <c r="B18" s="8" t="s">
        <v>50</v>
      </c>
      <c r="C18" s="8" t="s">
        <v>51</v>
      </c>
      <c r="D18" s="8" t="s">
        <v>16</v>
      </c>
      <c r="E18" s="8" t="n">
        <v>3898.36</v>
      </c>
      <c r="F18" s="8" t="n">
        <v>3898.88</v>
      </c>
      <c r="G18" s="8" t="n">
        <v>3.312</v>
      </c>
      <c r="H18" s="8" t="n">
        <v>829.56</v>
      </c>
      <c r="I18" s="8" t="n">
        <v>1000</v>
      </c>
      <c r="J18" s="8" t="n">
        <v>855560</v>
      </c>
      <c r="K18" s="8" t="n">
        <v>856010</v>
      </c>
      <c r="L18" s="8" t="n">
        <v>3312</v>
      </c>
      <c r="M18" s="8" t="n">
        <v>176030</v>
      </c>
      <c r="N18" s="8" t="n">
        <v>856010</v>
      </c>
      <c r="O18" s="8" t="n">
        <v>3312</v>
      </c>
      <c r="P18" s="8" t="n">
        <v>246360</v>
      </c>
      <c r="Q18" s="8" t="n">
        <v>5399256</v>
      </c>
    </row>
    <row r="19" customFormat="false" ht="15" hidden="false" customHeight="true" outlineLevel="0" collapsed="false">
      <c r="A19" s="7" t="n">
        <v>5</v>
      </c>
      <c r="B19" s="7" t="s">
        <v>52</v>
      </c>
      <c r="C19" s="7" t="s">
        <v>53</v>
      </c>
      <c r="D19" s="7" t="s">
        <v>16</v>
      </c>
      <c r="E19" s="7" t="n">
        <v>3042.8</v>
      </c>
      <c r="F19" s="7" t="n">
        <v>3042.87</v>
      </c>
      <c r="G19" s="7" t="n">
        <v>2.272</v>
      </c>
      <c r="H19" s="7" t="n">
        <v>653.53</v>
      </c>
      <c r="I19" s="7" t="n">
        <v>1000</v>
      </c>
      <c r="J19" s="7" t="n">
        <v>811800</v>
      </c>
      <c r="K19" s="7" t="n">
        <v>811870</v>
      </c>
      <c r="L19" s="7" t="n">
        <v>2272</v>
      </c>
      <c r="M19" s="7" t="n">
        <v>166970</v>
      </c>
      <c r="N19" s="7" t="n">
        <v>811870</v>
      </c>
      <c r="O19" s="7" t="n">
        <v>3200</v>
      </c>
      <c r="P19" s="7" t="n">
        <v>240590</v>
      </c>
      <c r="Q19" s="7" t="n">
        <v>5114857</v>
      </c>
    </row>
    <row r="20" customFormat="false" ht="15" hidden="false" customHeight="true" outlineLevel="0" collapsed="false">
      <c r="A20" s="8" t="n">
        <v>6</v>
      </c>
      <c r="B20" s="8" t="s">
        <v>54</v>
      </c>
      <c r="C20" s="8" t="s">
        <v>55</v>
      </c>
      <c r="D20" s="8" t="s">
        <v>16</v>
      </c>
      <c r="E20" s="8" t="n">
        <v>2231</v>
      </c>
      <c r="F20" s="8" t="n">
        <v>2231</v>
      </c>
      <c r="G20" s="8" t="n">
        <v>2.3</v>
      </c>
      <c r="H20" s="8" t="n">
        <v>486.56</v>
      </c>
      <c r="I20" s="8" t="n">
        <v>1000</v>
      </c>
      <c r="J20" s="8" t="n">
        <v>749000</v>
      </c>
      <c r="K20" s="8" t="n">
        <v>749000</v>
      </c>
      <c r="L20" s="8" t="n">
        <v>2300</v>
      </c>
      <c r="M20" s="8" t="n">
        <v>160560</v>
      </c>
      <c r="N20" s="8" t="n">
        <v>749000</v>
      </c>
      <c r="O20" s="8" t="n">
        <v>3200</v>
      </c>
      <c r="P20" s="8" t="n">
        <v>251360</v>
      </c>
      <c r="Q20" s="8" t="n">
        <v>4843350</v>
      </c>
    </row>
    <row r="21" customFormat="false" ht="15" hidden="false" customHeight="true" outlineLevel="0" collapsed="false">
      <c r="A21" s="7" t="n">
        <v>7</v>
      </c>
      <c r="B21" s="7" t="s">
        <v>56</v>
      </c>
      <c r="C21" s="7" t="s">
        <v>57</v>
      </c>
      <c r="D21" s="7" t="s">
        <v>16</v>
      </c>
      <c r="E21" s="7" t="n">
        <v>1482</v>
      </c>
      <c r="F21" s="7" t="n">
        <v>1482</v>
      </c>
      <c r="G21" s="7" t="n">
        <v>2.1</v>
      </c>
      <c r="H21" s="7" t="n">
        <v>326</v>
      </c>
      <c r="I21" s="7" t="n">
        <v>1000</v>
      </c>
      <c r="J21" s="7" t="n">
        <v>680480</v>
      </c>
      <c r="K21" s="7" t="n">
        <v>679960</v>
      </c>
      <c r="L21" s="7" t="n">
        <v>2100</v>
      </c>
      <c r="M21" s="7" t="n">
        <v>147000</v>
      </c>
      <c r="N21" s="7" t="n">
        <v>680480</v>
      </c>
      <c r="O21" s="7" t="n">
        <v>3200</v>
      </c>
      <c r="P21" s="7" t="n">
        <v>232280</v>
      </c>
      <c r="Q21" s="7" t="n">
        <v>4424939</v>
      </c>
    </row>
    <row r="22" customFormat="false" ht="15" hidden="false" customHeight="true" outlineLevel="0" collapsed="false">
      <c r="A22" s="8" t="n">
        <v>8</v>
      </c>
      <c r="B22" s="8" t="s">
        <v>58</v>
      </c>
      <c r="C22" s="8" t="s">
        <v>59</v>
      </c>
      <c r="D22" s="8" t="s">
        <v>16</v>
      </c>
      <c r="E22" s="8" t="n">
        <v>801.52</v>
      </c>
      <c r="F22" s="8" t="n">
        <v>802.04</v>
      </c>
      <c r="G22" s="8" t="n">
        <v>4.6</v>
      </c>
      <c r="H22" s="8" t="n">
        <v>179</v>
      </c>
      <c r="I22" s="8" t="n">
        <v>1000</v>
      </c>
      <c r="J22" s="8" t="n">
        <v>506520</v>
      </c>
      <c r="K22" s="8" t="n">
        <v>507040</v>
      </c>
      <c r="L22" s="8" t="n">
        <v>4600</v>
      </c>
      <c r="M22" s="8" t="n">
        <v>119000</v>
      </c>
      <c r="N22" s="8" t="n">
        <v>507040</v>
      </c>
      <c r="O22" s="8" t="n">
        <v>4600</v>
      </c>
      <c r="P22" s="8" t="n">
        <v>186320</v>
      </c>
      <c r="Q22" s="8" t="n">
        <v>3618801</v>
      </c>
    </row>
    <row r="23" customFormat="false" ht="15" hidden="false" customHeight="true" outlineLevel="0" collapsed="false">
      <c r="A23" s="7" t="n">
        <v>9</v>
      </c>
      <c r="B23" s="7" t="s">
        <v>60</v>
      </c>
      <c r="C23" s="7" t="s">
        <v>61</v>
      </c>
      <c r="D23" s="7" t="s">
        <v>16</v>
      </c>
      <c r="E23" s="7" t="n">
        <v>295</v>
      </c>
      <c r="F23" s="7" t="n">
        <v>295</v>
      </c>
      <c r="G23" s="7" t="n">
        <v>1.6</v>
      </c>
      <c r="H23" s="7" t="n">
        <v>60</v>
      </c>
      <c r="I23" s="7" t="n">
        <v>1000</v>
      </c>
      <c r="J23" s="7" t="n">
        <v>282000</v>
      </c>
      <c r="K23" s="7" t="n">
        <v>281000</v>
      </c>
      <c r="L23" s="7" t="n">
        <v>1600</v>
      </c>
      <c r="M23" s="7" t="n">
        <v>58000</v>
      </c>
      <c r="N23" s="7" t="n">
        <v>282000</v>
      </c>
      <c r="O23" s="7" t="n">
        <v>3200</v>
      </c>
      <c r="P23" s="7" t="n">
        <v>85000</v>
      </c>
      <c r="Q23" s="7" t="n">
        <v>1995369</v>
      </c>
    </row>
    <row r="24" customFormat="false" ht="15" hidden="false" customHeight="true" outlineLevel="0" collapsed="false">
      <c r="A24" s="8" t="n">
        <v>10</v>
      </c>
      <c r="B24" s="8" t="s">
        <v>62</v>
      </c>
      <c r="C24" s="8" t="s">
        <v>63</v>
      </c>
      <c r="D24" s="8" t="s">
        <v>16</v>
      </c>
      <c r="E24" s="8" t="n">
        <v>13</v>
      </c>
      <c r="F24" s="8" t="n">
        <v>14</v>
      </c>
      <c r="G24" s="8" t="n">
        <v>1.1</v>
      </c>
      <c r="H24" s="8" t="n">
        <v>2</v>
      </c>
      <c r="I24" s="8" t="n">
        <v>1000</v>
      </c>
      <c r="J24" s="8" t="n">
        <v>13000</v>
      </c>
      <c r="K24" s="8" t="n">
        <v>14000</v>
      </c>
      <c r="L24" s="8" t="n">
        <v>476.667</v>
      </c>
      <c r="M24" s="8" t="n">
        <v>2000</v>
      </c>
      <c r="N24" s="8" t="n">
        <v>34667</v>
      </c>
      <c r="O24" s="8" t="n">
        <v>1386.667</v>
      </c>
      <c r="P24" s="8" t="n">
        <v>2000</v>
      </c>
      <c r="Q24" s="8" t="n">
        <v>349525.01</v>
      </c>
    </row>
    <row r="25" customFormat="false" ht="15.75" hidden="false" customHeight="true" outlineLevel="0" collapsed="false">
      <c r="A25" s="9" t="s">
        <v>64</v>
      </c>
      <c r="B25" s="9"/>
      <c r="C25" s="9"/>
      <c r="D25" s="9"/>
      <c r="E25" s="10" t="n">
        <f aca="false">SUM(E15:E24)</f>
        <v>29151.46</v>
      </c>
      <c r="F25" s="10" t="n">
        <f aca="false">SUM(F15:F24)</f>
        <v>29158.3</v>
      </c>
      <c r="G25" s="10" t="n">
        <f aca="false">SUM(G15:G24)</f>
        <v>27.064</v>
      </c>
      <c r="H25" s="10" t="n">
        <f aca="false">SUM(H15:H24)</f>
        <v>6338.44</v>
      </c>
      <c r="I25" s="10" t="n">
        <f aca="false">SUM(I15:I24)</f>
        <v>10000</v>
      </c>
      <c r="J25" s="10" t="n">
        <f aca="false">SUM(J15:J24)</f>
        <v>6677530</v>
      </c>
      <c r="K25" s="10" t="n">
        <f aca="false">SUM(K15:K24)</f>
        <v>6679610</v>
      </c>
      <c r="L25" s="10" t="n">
        <f aca="false">SUM(L15:L24)</f>
        <v>26440.667</v>
      </c>
      <c r="M25" s="10" t="n">
        <f aca="false">SUM(M15:M24)</f>
        <v>1470790</v>
      </c>
      <c r="N25" s="10" t="n">
        <f aca="false">SUM(N15:N24)</f>
        <v>6701797</v>
      </c>
      <c r="O25" s="10" t="n">
        <f aca="false">SUM(O15:O24)</f>
        <v>31990.667</v>
      </c>
      <c r="P25" s="10" t="n">
        <f aca="false">SUM(P15:P24)</f>
        <v>2152570</v>
      </c>
      <c r="Q25" s="10" t="n">
        <f aca="false">SUM(Q15:Q24)</f>
        <v>44605486.01</v>
      </c>
    </row>
  </sheetData>
  <mergeCells count="42">
    <mergeCell ref="A1:R1"/>
    <mergeCell ref="A2:R2"/>
    <mergeCell ref="A3:R3"/>
    <mergeCell ref="A4:B4"/>
    <mergeCell ref="C4:F4"/>
    <mergeCell ref="G4:H4"/>
    <mergeCell ref="I4:R4"/>
    <mergeCell ref="A5:B5"/>
    <mergeCell ref="C5:F5"/>
    <mergeCell ref="G5:H5"/>
    <mergeCell ref="I5:R5"/>
    <mergeCell ref="A6:B6"/>
    <mergeCell ref="C6:F6"/>
    <mergeCell ref="G6:H6"/>
    <mergeCell ref="I6:R6"/>
    <mergeCell ref="A7:B7"/>
    <mergeCell ref="C7:F7"/>
    <mergeCell ref="G7:H7"/>
    <mergeCell ref="I7:R7"/>
    <mergeCell ref="A8:B8"/>
    <mergeCell ref="C8:F8"/>
    <mergeCell ref="G8:H8"/>
    <mergeCell ref="I8:R8"/>
    <mergeCell ref="A9:B9"/>
    <mergeCell ref="C9:F9"/>
    <mergeCell ref="G9:H9"/>
    <mergeCell ref="I9:R9"/>
    <mergeCell ref="A10:B10"/>
    <mergeCell ref="C10:F10"/>
    <mergeCell ref="G10:H10"/>
    <mergeCell ref="I10:R10"/>
    <mergeCell ref="A12:A14"/>
    <mergeCell ref="B12:B14"/>
    <mergeCell ref="C12:C14"/>
    <mergeCell ref="D12:D14"/>
    <mergeCell ref="E12:J12"/>
    <mergeCell ref="K12:R12"/>
    <mergeCell ref="E13:H13"/>
    <mergeCell ref="I13:J13"/>
    <mergeCell ref="K13:N13"/>
    <mergeCell ref="O13:R13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2026-04-05T09:32:38Z</dcterms:created>
  <dc:creator>openpyxl</dc:creator>
  <dc:description/>
  <dc:language>en-US</dc:language>
  <cp:lastModifiedBy/>
  <dcterms:modified xsi:type="dcterms:W3CDTF">2026-04-05T09:32:38Z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